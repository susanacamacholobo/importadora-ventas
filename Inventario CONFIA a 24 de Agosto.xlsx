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6322F30D-F5F5-4802-A684-33B3219D161E}" xr6:coauthVersionLast="47" xr6:coauthVersionMax="47" xr10:uidLastSave="{00000000-0000-0000-0000-000000000000}"/>
  <bookViews>
    <workbookView xWindow="-108" yWindow="-108" windowWidth="23256" windowHeight="12456" firstSheet="8" activeTab="15" xr2:uid="{836BE014-101E-4528-AC3A-5ECBC88D3957}"/>
  </bookViews>
  <sheets>
    <sheet name="CASA IDEAS" sheetId="1" r:id="rId1"/>
    <sheet name="AGENDAS" sheetId="2" r:id="rId2"/>
    <sheet name="CHIKIPOOM COMPRA" sheetId="3" r:id="rId3"/>
    <sheet name="IMBIMEX" sheetId="4" r:id="rId4"/>
    <sheet name="MAKRO" sheetId="5" r:id="rId5"/>
    <sheet name="MOXOS" sheetId="6" r:id="rId6"/>
    <sheet name="KHOLBERG" sheetId="7" r:id="rId7"/>
    <sheet name="DIEGO EID" sheetId="8" r:id="rId8"/>
    <sheet name="EUROCASCOS" sheetId="10" r:id="rId9"/>
    <sheet name="KIMPRO" sheetId="11" r:id="rId10"/>
    <sheet name="ROXI" sheetId="12" r:id="rId11"/>
    <sheet name="LISOFORT" sheetId="13" r:id="rId12"/>
    <sheet name="GUABIRA" sheetId="14" r:id="rId13"/>
    <sheet name="COICOM" sheetId="15" r:id="rId14"/>
    <sheet name="AIDISA" sheetId="16" r:id="rId15"/>
    <sheet name="UZ MUNDIAL" sheetId="17" r:id="rId16"/>
    <sheet name="Confia" sheetId="18" r:id="rId17"/>
  </sheets>
  <externalReferences>
    <externalReference r:id="rId18"/>
    <externalReference r:id="rId1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" i="18" l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G3" i="16" l="1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F33" i="17"/>
  <c r="F3" i="17" l="1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E5" i="2"/>
  <c r="G3" i="11"/>
  <c r="I3" i="11" s="1"/>
  <c r="G4" i="11"/>
  <c r="I4" i="11" s="1"/>
  <c r="G5" i="11"/>
  <c r="G6" i="11"/>
  <c r="G7" i="11"/>
  <c r="I7" i="11" s="1"/>
  <c r="G8" i="11"/>
  <c r="I8" i="11" s="1"/>
  <c r="G9" i="11"/>
  <c r="E27" i="3"/>
  <c r="G27" i="3" s="1"/>
  <c r="G5" i="3"/>
  <c r="G13" i="3"/>
  <c r="G17" i="3"/>
  <c r="G25" i="3"/>
  <c r="G29" i="3"/>
  <c r="G33" i="3"/>
  <c r="E3" i="3"/>
  <c r="G3" i="3" s="1"/>
  <c r="E4" i="3"/>
  <c r="G4" i="3" s="1"/>
  <c r="E5" i="3"/>
  <c r="E6" i="3"/>
  <c r="G6" i="3" s="1"/>
  <c r="E7" i="3"/>
  <c r="G7" i="3" s="1"/>
  <c r="E8" i="3"/>
  <c r="G8" i="3" s="1"/>
  <c r="E9" i="3"/>
  <c r="G9" i="3" s="1"/>
  <c r="E10" i="3"/>
  <c r="G10" i="3" s="1"/>
  <c r="E11" i="3"/>
  <c r="G11" i="3" s="1"/>
  <c r="E12" i="3"/>
  <c r="G12" i="3" s="1"/>
  <c r="E13" i="3"/>
  <c r="E14" i="3"/>
  <c r="G14" i="3" s="1"/>
  <c r="E15" i="3"/>
  <c r="G15" i="3" s="1"/>
  <c r="E16" i="3"/>
  <c r="G16" i="3" s="1"/>
  <c r="E17" i="3"/>
  <c r="E18" i="3"/>
  <c r="G18" i="3" s="1"/>
  <c r="E19" i="3"/>
  <c r="G19" i="3" s="1"/>
  <c r="E20" i="3"/>
  <c r="G20" i="3" s="1"/>
  <c r="E21" i="3"/>
  <c r="G21" i="3" s="1"/>
  <c r="E22" i="3"/>
  <c r="G22" i="3" s="1"/>
  <c r="E23" i="3"/>
  <c r="G23" i="3" s="1"/>
  <c r="E24" i="3"/>
  <c r="G24" i="3" s="1"/>
  <c r="E25" i="3"/>
  <c r="E26" i="3"/>
  <c r="G26" i="3" s="1"/>
  <c r="E28" i="3"/>
  <c r="G28" i="3" s="1"/>
  <c r="E29" i="3"/>
  <c r="E30" i="3"/>
  <c r="G30" i="3" s="1"/>
  <c r="E31" i="3"/>
  <c r="G31" i="3" s="1"/>
  <c r="E32" i="3"/>
  <c r="G32" i="3" s="1"/>
  <c r="E33" i="3"/>
  <c r="E34" i="3"/>
  <c r="G34" i="3" s="1"/>
  <c r="E35" i="3"/>
  <c r="G35" i="3" s="1"/>
  <c r="E36" i="3"/>
  <c r="G36" i="3" s="1"/>
  <c r="G5" i="18"/>
  <c r="G9" i="18"/>
  <c r="G21" i="18"/>
  <c r="G25" i="18"/>
  <c r="E3" i="18"/>
  <c r="G3" i="18" s="1"/>
  <c r="E4" i="18"/>
  <c r="G4" i="18" s="1"/>
  <c r="E5" i="18"/>
  <c r="E6" i="18"/>
  <c r="G6" i="18" s="1"/>
  <c r="E7" i="18"/>
  <c r="G7" i="18" s="1"/>
  <c r="E8" i="18"/>
  <c r="G8" i="18" s="1"/>
  <c r="E10" i="18"/>
  <c r="G10" i="18" s="1"/>
  <c r="E11" i="18"/>
  <c r="G11" i="18" s="1"/>
  <c r="E12" i="18"/>
  <c r="G12" i="18" s="1"/>
  <c r="E13" i="18"/>
  <c r="G13" i="18" s="1"/>
  <c r="E14" i="18"/>
  <c r="G14" i="18" s="1"/>
  <c r="E15" i="18"/>
  <c r="G15" i="18" s="1"/>
  <c r="E16" i="18"/>
  <c r="G16" i="18" s="1"/>
  <c r="E17" i="18"/>
  <c r="G17" i="18" s="1"/>
  <c r="E18" i="18"/>
  <c r="G18" i="18" s="1"/>
  <c r="E19" i="18"/>
  <c r="G19" i="18" s="1"/>
  <c r="E20" i="18"/>
  <c r="G20" i="18" s="1"/>
  <c r="E21" i="18"/>
  <c r="E22" i="18"/>
  <c r="G22" i="18" s="1"/>
  <c r="E23" i="18"/>
  <c r="G23" i="18" s="1"/>
  <c r="E24" i="18"/>
  <c r="G24" i="18" s="1"/>
  <c r="E25" i="18"/>
  <c r="E26" i="18"/>
  <c r="G26" i="18" s="1"/>
  <c r="E27" i="18"/>
  <c r="G27" i="18" s="1"/>
  <c r="E28" i="18"/>
  <c r="G28" i="18" s="1"/>
  <c r="E29" i="18"/>
  <c r="G29" i="18" s="1"/>
  <c r="E30" i="18"/>
  <c r="G30" i="18" s="1"/>
  <c r="E31" i="18"/>
  <c r="G31" i="18" s="1"/>
  <c r="E32" i="18"/>
  <c r="G32" i="18" s="1"/>
  <c r="E33" i="18"/>
  <c r="G33" i="18" s="1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3" i="16"/>
  <c r="E4" i="16"/>
  <c r="E5" i="16"/>
  <c r="E31" i="16" s="1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" i="13"/>
  <c r="I5" i="11"/>
  <c r="I6" i="11"/>
  <c r="I9" i="11"/>
  <c r="E8" i="7"/>
  <c r="E3" i="7"/>
  <c r="E4" i="7"/>
  <c r="E5" i="7"/>
  <c r="E6" i="7"/>
  <c r="E7" i="7"/>
  <c r="G37" i="3" l="1"/>
  <c r="E84" i="17"/>
  <c r="E38" i="15"/>
  <c r="G34" i="18"/>
  <c r="E3" i="2" l="1"/>
  <c r="G3" i="2" s="1"/>
  <c r="E4" i="2"/>
  <c r="G4" i="2" s="1"/>
  <c r="G5" i="2"/>
  <c r="E6" i="2"/>
  <c r="G6" i="2" s="1"/>
  <c r="E7" i="2"/>
  <c r="G7" i="2" s="1"/>
  <c r="E8" i="2"/>
  <c r="G8" i="2" s="1"/>
  <c r="E9" i="2"/>
  <c r="G9" i="2" s="1"/>
  <c r="E10" i="2"/>
  <c r="G10" i="2" s="1"/>
  <c r="E11" i="2"/>
  <c r="G11" i="2" s="1"/>
  <c r="E12" i="2"/>
  <c r="G12" i="2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E3" i="12"/>
  <c r="E8" i="12" s="1"/>
  <c r="E4" i="12"/>
  <c r="E5" i="12"/>
  <c r="E6" i="12"/>
  <c r="E7" i="12"/>
  <c r="E3" i="10"/>
  <c r="E3" i="8"/>
  <c r="G13" i="2" l="1"/>
  <c r="F3" i="5"/>
  <c r="H3" i="5" s="1"/>
  <c r="F4" i="5"/>
  <c r="H4" i="5" s="1"/>
  <c r="F5" i="5"/>
  <c r="H5" i="5" s="1"/>
  <c r="F6" i="5"/>
  <c r="H6" i="5" s="1"/>
  <c r="F7" i="5"/>
  <c r="H7" i="5" s="1"/>
  <c r="F8" i="5"/>
  <c r="H8" i="5" s="1"/>
  <c r="F9" i="5"/>
  <c r="H9" i="5" s="1"/>
  <c r="F10" i="5"/>
  <c r="H10" i="5" s="1"/>
  <c r="F11" i="5"/>
  <c r="H11" i="5" s="1"/>
  <c r="F12" i="5"/>
  <c r="H12" i="5" s="1"/>
  <c r="F13" i="5"/>
  <c r="H13" i="5" s="1"/>
  <c r="F14" i="5"/>
  <c r="H14" i="5" s="1"/>
  <c r="F15" i="5"/>
  <c r="H15" i="5" s="1"/>
  <c r="F16" i="5"/>
  <c r="H16" i="5" s="1"/>
  <c r="F17" i="5"/>
  <c r="H17" i="5" s="1"/>
  <c r="F18" i="5"/>
  <c r="H18" i="5" s="1"/>
  <c r="F19" i="5"/>
  <c r="H19" i="5" s="1"/>
  <c r="F20" i="5"/>
  <c r="H20" i="5" s="1"/>
  <c r="F21" i="5"/>
  <c r="H21" i="5" s="1"/>
  <c r="F22" i="5"/>
  <c r="H22" i="5" s="1"/>
  <c r="F23" i="5"/>
  <c r="H23" i="5" s="1"/>
  <c r="F24" i="5"/>
  <c r="H24" i="5" s="1"/>
  <c r="F25" i="5"/>
  <c r="H25" i="5" s="1"/>
  <c r="F26" i="5"/>
  <c r="H26" i="5" s="1"/>
  <c r="F27" i="5"/>
  <c r="H27" i="5" s="1"/>
  <c r="F28" i="5"/>
  <c r="H28" i="5" s="1"/>
  <c r="F29" i="5"/>
  <c r="H29" i="5" s="1"/>
  <c r="F30" i="5"/>
  <c r="H30" i="5" s="1"/>
  <c r="F31" i="5"/>
  <c r="H31" i="5" s="1"/>
  <c r="F32" i="5"/>
  <c r="H32" i="5" s="1"/>
  <c r="F33" i="5"/>
  <c r="H33" i="5" s="1"/>
  <c r="F34" i="5"/>
  <c r="H34" i="5" s="1"/>
  <c r="F35" i="5"/>
  <c r="H35" i="5" s="1"/>
  <c r="F36" i="5"/>
  <c r="H36" i="5" s="1"/>
  <c r="F37" i="5"/>
  <c r="H37" i="5" s="1"/>
  <c r="F38" i="5"/>
  <c r="H38" i="5" s="1"/>
  <c r="F39" i="5"/>
  <c r="H39" i="5" s="1"/>
  <c r="F40" i="5"/>
  <c r="H40" i="5" s="1"/>
  <c r="F41" i="5"/>
  <c r="H41" i="5" s="1"/>
  <c r="F42" i="5"/>
  <c r="H42" i="5" s="1"/>
  <c r="F43" i="5"/>
  <c r="H43" i="5" s="1"/>
  <c r="F44" i="5"/>
  <c r="H44" i="5" s="1"/>
  <c r="F45" i="5"/>
  <c r="H45" i="5" s="1"/>
  <c r="F46" i="5"/>
  <c r="H46" i="5" s="1"/>
  <c r="E3" i="4"/>
  <c r="E4" i="4"/>
  <c r="E5" i="4"/>
  <c r="E14" i="4" s="1"/>
  <c r="E6" i="4"/>
  <c r="E7" i="4"/>
  <c r="E8" i="4"/>
  <c r="E9" i="4"/>
  <c r="E10" i="4"/>
  <c r="E11" i="4"/>
  <c r="E12" i="4"/>
  <c r="E13" i="4"/>
  <c r="H47" i="5" l="1"/>
  <c r="D130" i="1" l="1"/>
  <c r="G130" i="1" s="1"/>
  <c r="D205" i="1"/>
  <c r="G205" i="1" s="1"/>
  <c r="D10" i="6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 l="1"/>
</calcChain>
</file>

<file path=xl/sharedStrings.xml><?xml version="1.0" encoding="utf-8"?>
<sst xmlns="http://schemas.openxmlformats.org/spreadsheetml/2006/main" count="668" uniqueCount="586">
  <si>
    <t>Código</t>
  </si>
  <si>
    <t>Nombre Producto</t>
  </si>
  <si>
    <t>RECEPCIÓN</t>
  </si>
  <si>
    <t>ALMACEN</t>
  </si>
  <si>
    <t>3011014000532 - SACHET AROMA NATURAL. 0000. 0147</t>
  </si>
  <si>
    <t>FUNDA PLUMON CONCEPTO COLOR. CORAL. 0108 - 3050333000557</t>
  </si>
  <si>
    <t>SET ROPA ACCESORIOS MUÑECA. 0000. 0144 - 3070306000414</t>
  </si>
  <si>
    <t>SET ROPA ACCESORIOS MUÑECA. 0000. 0145 - 3070306000421</t>
  </si>
  <si>
    <t>CORTINA GANCHO BLACK. GRIS OBSCURO. 0106 - 3080927000496</t>
  </si>
  <si>
    <t>3087467001907 - TOALLA VISITA ATELIER 30X45C. 0000. 0308</t>
  </si>
  <si>
    <t>3089459000295 - VELA VOTIVA SICHOL. BEIGE. 0105</t>
  </si>
  <si>
    <t>FLORERO CON SUCCION. 0000. 0002 - 3090703000039</t>
  </si>
  <si>
    <t>3091103000186 - VASO ADAMS. 0000. 0016</t>
  </si>
  <si>
    <t>3091103000209 - VASO ADAMS. 0000. 0018</t>
  </si>
  <si>
    <t>3091105000184 - DISPENSADOR JABON ADAMS. 0000. 0016</t>
  </si>
  <si>
    <t>3091108000181 - JABONERA ADAMS. 0000. 0016</t>
  </si>
  <si>
    <t>3091108000204 - JABONERA ADAMS. 0000. 0018</t>
  </si>
  <si>
    <t>3092300000269 - VELA BOLA RUSTICA. BLANCO INVIERNO. 0104</t>
  </si>
  <si>
    <t>CORTINA BANO ATELIER. 0000. 0308 - 3099016000958</t>
  </si>
  <si>
    <t>INFUSOR TE METALICO. 0000. 0004 - 3102311000049</t>
  </si>
  <si>
    <t>3102805000340 - LAPIZ PASTA OJOS SALTONES. 0000. 0031</t>
  </si>
  <si>
    <t>3106382000618 - CALENTADOR DE MANOS ESTAMPAD. 0000. 0062</t>
  </si>
  <si>
    <t>3106382000625 - CALENTADOR DE MANOS ESTAMPAD. 0000. 0063</t>
  </si>
  <si>
    <t>3106382000632 - CALENTADOR DE MANOS ESTAMPAD. 0000. 0064</t>
  </si>
  <si>
    <t>3106382000649 - CALENTADOR DE MANOS ESTAMPAD. 0000. 0065</t>
  </si>
  <si>
    <t>3106382000656 - CALENTADOR DE MANOS ESTAMPAD. 0000. 0066</t>
  </si>
  <si>
    <t>3106382000663 - CALENTADOR DE MANOS ESTAMPAD. 0000. 0067</t>
  </si>
  <si>
    <t>SET FDA PLUMON ESTAMPADO CON. 0000. 0067 - 3107351000424</t>
  </si>
  <si>
    <t>JUEGO METROPOLIS. 0000. 0006 - 3108027000069</t>
  </si>
  <si>
    <t>ALFOMBRA BAÑO CONCEPTO. BLANCO. 0002 - 3113625000175</t>
  </si>
  <si>
    <t>TOALLA BAÑO CONCEPTO. ROJO. 0002 - 3114971000208</t>
  </si>
  <si>
    <t>MARCO FOTO ALUMINIO 10X15. 0000. 0104 - 3119238000052</t>
  </si>
  <si>
    <t>STORE BLACKOUT 150X220. 0000. 0107 - 3119989000202</t>
  </si>
  <si>
    <t>SET 3 CANASTOS PLASTICOS. 0000. 0002 - 3200376000025</t>
  </si>
  <si>
    <t>3201895000022 - SET 6 CANOAS MADERA. 0000. 0002</t>
  </si>
  <si>
    <t>BOLSA COMPRAS CARRO M. 0000. 0002 - 3202005000031</t>
  </si>
  <si>
    <t>3203924000119 - PALITOS CHINOS DIVERTIDOS. 0000. 0011</t>
  </si>
  <si>
    <t>3203924000126 - PALITOS CHINOS DIVERTIDOS. 0000. 0012</t>
  </si>
  <si>
    <t>3203924000133 - PALITOS CHINOS DIVERTIDOS. 0000. 0013</t>
  </si>
  <si>
    <t>TOALLA VISITA SET 2. 0000. 0026 - 3205377000258</t>
  </si>
  <si>
    <t>AROMATIZADOR DE ACEITE. 0000. 0001 - 3205653000019</t>
  </si>
  <si>
    <t>GUATERO SÍLICA BEBÉ. 0000. 0013 - 3205679000130</t>
  </si>
  <si>
    <t>3205727000020 - S/3 VELAS TEALIGHT PLASTICO. 0000. 0001</t>
  </si>
  <si>
    <t>3208748000079 - RAMEKIN TEXTURA S. 0000. 0007</t>
  </si>
  <si>
    <t>3208756000108 - VELA BOLA RUSTICA M D8. CARMIN. 0104</t>
  </si>
  <si>
    <t>3208756000146 - VELA BOLA RUSTICA M D8. HUMO. 0105</t>
  </si>
  <si>
    <t>3208873000081 - SET LIMA Y CORTAUÑA. 0000. 0008</t>
  </si>
  <si>
    <t>3208873000098 - SET LIMA Y CORTAUÑA. 0000. 0009</t>
  </si>
  <si>
    <t>3208887000053 - SET LIMAS SMALL. 0000. 0005</t>
  </si>
  <si>
    <t>MOCHILA PLEGABLE 20L. 0000. 0009 - 3209103000093</t>
  </si>
  <si>
    <t>MOCHILA PLEGABLE 20L. 0000. 0010 - 3209103000109</t>
  </si>
  <si>
    <t>3209213000228 - TOALLA VISITA APLICACION. 0000. 0022</t>
  </si>
  <si>
    <t>STICKER LAMPARA. 0000. 0010 - 3209382000104</t>
  </si>
  <si>
    <t>3209694000021 - MOLINILLO DIVERTIDO. AMARILLO. 0001</t>
  </si>
  <si>
    <t>3209746000139 - FRASCO ACCESORIOS. 0000. 0013</t>
  </si>
  <si>
    <t>CONEJO PASCUA SAQUITO. 0000. 0005 - 3210314000017</t>
  </si>
  <si>
    <t>CONEJO PASCUA SAQUITO. 0000. 0006 - 3210314000024</t>
  </si>
  <si>
    <t>CONEJO PASCUA SAQUITO. 0000. 0007 - 3210314000031</t>
  </si>
  <si>
    <t>COSMETIQUERO BAÑO BOLSILLOS. 0000. 0171 - 3210469000023</t>
  </si>
  <si>
    <t>3210543000116 - SET STICKERS AZULEJO. BLANCO. 0011</t>
  </si>
  <si>
    <t>SET TIMBRE + TINTA. 0000. 0007 - 3210677000075</t>
  </si>
  <si>
    <t>3211252000183 - LLAVERO SONIDO ANIMAL. 0000. 0018</t>
  </si>
  <si>
    <t>VASO TÉRMICO PORCELANA PRINT. 0000. 0002 - 3211851000027</t>
  </si>
  <si>
    <t>ZAPATOS DE AGUA COLOR 37/38. 0000. 0007 - 3211874000073</t>
  </si>
  <si>
    <t>MARCO FOTO MADERA MULTIPLE. 0000. 0105 - 3212357000023</t>
  </si>
  <si>
    <t>MARCADOR MALETA FORMA. 0000. 0003 - 3212684000031</t>
  </si>
  <si>
    <t>MARCADOR MALETA FORMA. 0000. 0004 - 3212684000048</t>
  </si>
  <si>
    <t>3212718000075 - ESPEJO FIGURA. 0000. 0007</t>
  </si>
  <si>
    <t>3212718000082 - ESPEJO FIGURA. 0000. 0008</t>
  </si>
  <si>
    <t>3212752000024 - 2 MINI PIZARRAS MAGNETO. 0000. 0002</t>
  </si>
  <si>
    <t>MUG DECAL CURVO. 0000. 0001 - 3212850000018</t>
  </si>
  <si>
    <t>MOCHILA TELA PARKA. 0000. 0005 - 3212913000054</t>
  </si>
  <si>
    <t>3212983000015 - SET 6 SOBRES DE PAPEL. 0000. 0001</t>
  </si>
  <si>
    <t>3212983000022 - SET 6 SOBRES DE PAPEL. 0000. 0002</t>
  </si>
  <si>
    <t>3213067000044 - MINI SET MANICURE. 0000. 0004</t>
  </si>
  <si>
    <t>3213067000051 - MINI SET MANICURE. 0000. 0005</t>
  </si>
  <si>
    <t>3213099000180 - BOWL POSTRE KARL. CARGO. 0002</t>
  </si>
  <si>
    <t>FUNDA PLUMON TEJIDO PUNTO. 0000. 0003 - 3213222000032</t>
  </si>
  <si>
    <t>FUNDA PLUMON TEJIDO PUNTO. 0000. 0006 - 3213222000063</t>
  </si>
  <si>
    <t>SET STICKERS DISEÑO. 0000. 0007 - 3213249000077</t>
  </si>
  <si>
    <t>SET STICKERS DISEÑO. 0000. 0008 - 3213249000084</t>
  </si>
  <si>
    <t>PISO DE BAÑO BORO. 0000. 0007 - 3213347000078</t>
  </si>
  <si>
    <t>BOMBILLA LED COLGANTE. 0000. 0006 - 3213356000069</t>
  </si>
  <si>
    <t>SAQUITO CON PIERNAS. 0000. 0005 - 3213366000059</t>
  </si>
  <si>
    <t>SAQUITO CON PIERNAS. 0000. 0006 - 3213366000066</t>
  </si>
  <si>
    <t>3213466000034 - LAPIZ SACA LENGUA. 0000. 0003</t>
  </si>
  <si>
    <t>3213478000039 - SET PALITOS COCKTAIL. 0000. 0003</t>
  </si>
  <si>
    <t>VASO TÉRMICO PLÁSTICO PRINT. 0000. 0007 - 3213752000083</t>
  </si>
  <si>
    <t>SET TELAR MADERA. 0000. 0002 - 3213766000024</t>
  </si>
  <si>
    <t>BILLETERA PAPELERIA. 0000. 0004 - 3213807000044</t>
  </si>
  <si>
    <t>AUDIFONOS CLIP PAPELERIA. 0000. 0011 - 3213811000115</t>
  </si>
  <si>
    <t>SET 6 BOLSILLOS ADHESIVOS. 0000. 0004 - 3213895000049</t>
  </si>
  <si>
    <t>S/2 CORT OJE LONA ESTAMPADA. 0000. 0010 - 3213914000104</t>
  </si>
  <si>
    <t>SET 2 CALCETÍN PELUCHE 3+. 0000. 0005 - 3213963000056</t>
  </si>
  <si>
    <t>3214026000051 - CANDADO CLAVE COLOR. 0000. 0005</t>
  </si>
  <si>
    <t>SPLITTER 2 AUDIFONOS. 0000. 0005 - 3214040000051</t>
  </si>
  <si>
    <t>3214048000022 - SET 14 ELASTICOS COLOR. 0000. 0002</t>
  </si>
  <si>
    <t>10 LUCES FAROL METAL 1.65 ME. 0000. 0002 - 3214130000022</t>
  </si>
  <si>
    <t>3214394000035 - VELA VASO VIDRIO LED. 0000. 0003</t>
  </si>
  <si>
    <t>3214398000031 - VELA PILAR CERA LED 5X6.5. 0000. 0003</t>
  </si>
  <si>
    <t>3214399000030 - VELA PILAR CERA LED 7.5X10. 0000. 0003</t>
  </si>
  <si>
    <t>COSMETIQUERO M CON GANCHO. 0000. 0002 - 3214866000020</t>
  </si>
  <si>
    <t>3214901000039 - PORTA LENTES CONTACTO. 0000. 0003</t>
  </si>
  <si>
    <t>3214901000046 - PORTA LENTES CONTACTO. 0000. 0004</t>
  </si>
  <si>
    <t>MANTEL ALTEZZO NAT 170X240. 0000. 0019 - 3215001000028</t>
  </si>
  <si>
    <t>3215120000046 - SET PARCHES DISEÑO. 0000. 0004</t>
  </si>
  <si>
    <t>3215120000053 - SET PARCHES DISEÑO. 0000. 0005</t>
  </si>
  <si>
    <t>3215120000060 - SET PARCHES DISEÑO. 0000. 0006</t>
  </si>
  <si>
    <t>SET 2 PINES METAL. 0000. 0001 - 3215166000017</t>
  </si>
  <si>
    <t>SET 2 PINS METAL. 0000. 0002 - 3215166000024</t>
  </si>
  <si>
    <t>SET 6 REVOLVEDORES. 0000. 0001 - 3215223000011</t>
  </si>
  <si>
    <t>HIELERA S CON PINZAS S/S. 0000. 0002 - 3215296000024</t>
  </si>
  <si>
    <t>SET ETIQUETAS CON MARCADOR. 0000. 0001 - 3215312000014</t>
  </si>
  <si>
    <t>INFUSOR TÉ FLOTANTE. ROJO. 0002 - 3215433000078</t>
  </si>
  <si>
    <t>INFUSOR TÉ FLOTANTE. ESMERALDA. 0002 - 3215433000085</t>
  </si>
  <si>
    <t>FUNDA COJIN WAFFLE COTTON. 0000. 0005 - 3215487000055</t>
  </si>
  <si>
    <t>3215626000014 - SET 20 ELÁSTICO. 0000. 0001</t>
  </si>
  <si>
    <t>CORTADORES GALLETAS PASCUA. 0000. 0001 - 3215731000015</t>
  </si>
  <si>
    <t>GUIRNALDA LUCES BEBÉ. 0000. 0001 - 3215749000014</t>
  </si>
  <si>
    <t>GUIRNALDA LUCES BEBÉ. 0000. 0002 - 3215749000021</t>
  </si>
  <si>
    <t>COJIN VELVET COLOR 45X45. 0000. 0005 - 3215757000051</t>
  </si>
  <si>
    <t>AROMA FORMA HELADO. 0000. 0004 - 3215797000042</t>
  </si>
  <si>
    <t>3215905000025 - NOTAS ADHESIVAS DISEÑO. 0000. 0002</t>
  </si>
  <si>
    <t>3215920000017 - SET 3 FLORES CRECE AGUA. 0000. 0001</t>
  </si>
  <si>
    <t>3215929000018 - LAPIZ CABEZA SALTONA. 0000. 0001</t>
  </si>
  <si>
    <t>COSMETIQUERO ESTUCHE. 0000. 0002 - 3215995000028</t>
  </si>
  <si>
    <t>BOLSO INFLABLE. 0000. 0001 - 3216167000013</t>
  </si>
  <si>
    <t>BOLSO INFLABLE. 0000. 0002 - 3216167000020</t>
  </si>
  <si>
    <t>BOLSO INFLABLE. 0000. 0003 - 3216167000037</t>
  </si>
  <si>
    <t>SET CHINCHETAS CLIPS APRETAD. 0000. 0001 - 3216189000015</t>
  </si>
  <si>
    <t>SET 10 LAPICES CERA RETRACTI. 0000. 0001 - 3216196000015</t>
  </si>
  <si>
    <t>SET CREACION CORONA FLORES. 0000. 0001 - 3216203000014</t>
  </si>
  <si>
    <t>SET ACCESORIOS TELA ALGODON. 0000. 0001 - 3216206000011</t>
  </si>
  <si>
    <t>SET DECORA PARLANTES. 0000. 0001 - 3216210000014</t>
  </si>
  <si>
    <t>MUG DECAL INFUSOR SS Y TAPA. 0000. 0004 - 3216213000042</t>
  </si>
  <si>
    <t>MUG DECAL INFUSOR SS Y TAPA. 0000. 0006 - 3216213000066</t>
  </si>
  <si>
    <t>TERMO INDIVIDUAL VINTAGE. 0000. 0002 - 3216216000025</t>
  </si>
  <si>
    <t>LAMPARA LED CAMPANA EDISON. 0000. 0001 - 3216230000018</t>
  </si>
  <si>
    <t>3216298000012 - LÁPIZ GEL RETRÁCTIL. 0000. 0001</t>
  </si>
  <si>
    <t>AUDIFONOS PEPITA PAPELERIA. 0000. 0007 - 3216314000071</t>
  </si>
  <si>
    <t>AUDIFONOS PEPITA PAPELERIA. 0000. 0008 - 3216314000088</t>
  </si>
  <si>
    <t>S/2 CORT BAR VELVET ALGODÓN. CRUDO. 0001 - 3216319000014</t>
  </si>
  <si>
    <t>CANASTO ORGANIZADOR. 0000. 0001 - 3216386000016</t>
  </si>
  <si>
    <t>SET 3 LÁPICES TINTA GEL DISE. 0000. 0002 - 3216420000026</t>
  </si>
  <si>
    <t>S/2 VELAS DINNER CERA LED. 0000. 0001 - 3216464000013</t>
  </si>
  <si>
    <t>3216686000013 - YO-YO MADERA. 0000. 0001</t>
  </si>
  <si>
    <t>BANDEJA BAÑO CERAMICA. 0000. 0001 - 3216879000011</t>
  </si>
  <si>
    <t>PORTA COTONITOS Y PETALOS. 0000. 0001 - 3216880000017</t>
  </si>
  <si>
    <t>3216900000010 - BOLSA HERMETICA PLAYA. 0000. 0001</t>
  </si>
  <si>
    <t>MARCO FOTO MADERA 30X40. 0000. 0001 - 3217128000011</t>
  </si>
  <si>
    <t>MARCO FOTO ALUMINIO 10X10. 0000. 0001 - 3217138000018</t>
  </si>
  <si>
    <t>MUG C/INFUSOR DISEÑO. 0000. 0001 - 3217172000012</t>
  </si>
  <si>
    <t>MUG C/INFUSOR DISEÑO. 0000. 0002 - 3217172000029</t>
  </si>
  <si>
    <t>3217180000011 - BOLSILLO MAGNÉTICO. 0000. 0001</t>
  </si>
  <si>
    <t>3217180000028 - BOLSILLO MAGNÉTICO. 0000. 0002</t>
  </si>
  <si>
    <t>SET HERRAMIENTAS BAR. 0000. 0001 - 3217197000011</t>
  </si>
  <si>
    <t>SET BEBE Y CUNA. 0000. 0001 - 3217264000012</t>
  </si>
  <si>
    <t>SET 5 LIBRETAS DISEÑO. 0000. 0001 - 3217336000018</t>
  </si>
  <si>
    <t>SET 5 LIBRETAS DISEÑO. 0000. 0002 - 3217336000025</t>
  </si>
  <si>
    <t>SET NOTAS ADHESIVAS PAPEL. 0000. 0002 - 3217339000022</t>
  </si>
  <si>
    <t>SET STICKERS LETRAS Y NUMERO. 0000. 0001 - 3217340000011</t>
  </si>
  <si>
    <t>SET STICKERS LETRAS Y NUMERO. 0000. 0002 - 3217340000028</t>
  </si>
  <si>
    <t>ALCANCIA ANIMAL ESTRELLA. 0000. 0003 - 3217352000030</t>
  </si>
  <si>
    <t>FIGURA CUERDA. 0000. 0001 - 3217355000013</t>
  </si>
  <si>
    <t>DISPENSADOR DULCES. 0000. 0001 - 3217376000016</t>
  </si>
  <si>
    <t>MARCO FOTO TRIPLE MDF PASPAR. 0000. 0001 - 3217396000010</t>
  </si>
  <si>
    <t>MARCO FOTO MULTIPLE MDF PASP. 0000. 0001 - 3217397000019</t>
  </si>
  <si>
    <t>SET 2 LIBRETAS LOMO A6. 0000. 0003 - 3217410000033</t>
  </si>
  <si>
    <t>SET 2 COSMETIQUEROS. 0000. 0001 - 3217446000014</t>
  </si>
  <si>
    <t>ESPEJO LLAVERO ACRILICO. 0000. 0001 - 3217447000013</t>
  </si>
  <si>
    <t>VELA PILAR COLOR S 7.8X7.8. HUMO. 0001 - 3217466000070</t>
  </si>
  <si>
    <t>VELA PILAR COLOR M 7.8X100. BEIGE. 0001 - 3217467000048</t>
  </si>
  <si>
    <t>VELA PILAR COLOR M 7.8X100. HUMO. 0001 - 3217467000079</t>
  </si>
  <si>
    <t>VELA PILAR COLOR L 7.8X150. HUMO. 0001 - 3217468000078</t>
  </si>
  <si>
    <t>SET 3 VELAS PILAR S-M-L. 0000. 0001 - 3217645000013</t>
  </si>
  <si>
    <t>MACETA CERAMICA ANIMAL L. 0000. 0002 - 3217781000021</t>
  </si>
  <si>
    <t>MACETA TERRACOTA PLANTA M. 0000. 0003 - 3217960000033</t>
  </si>
  <si>
    <t>3218009000014 - SET 4 MINI LÁPICES GEL COLOR. 0000. 0001</t>
  </si>
  <si>
    <t>FUNDA ALMOHADÓN TEEN. 0000. 0002 - 3218133000027</t>
  </si>
  <si>
    <t>SET 2 BOLIGRAFOS BORRABLES. 0000. 0001 - 3218302000018</t>
  </si>
  <si>
    <t>SET 12 CRAYONES RETRACTILES. 0000. 0001 - 3218311000016</t>
  </si>
  <si>
    <t>3218313000014 - SET 2 CINTAS CORRECTORAS 12M. 0000. 0001</t>
  </si>
  <si>
    <t>GOMA ELECTRICA PAPELERIA. 0000. 0001 - 3218315000012</t>
  </si>
  <si>
    <t>SET CLIPS Y APRETADORES. 0000. 0001 - 3218319000018</t>
  </si>
  <si>
    <t>3218372000024 - BOWL POSTRE DISEÑO PRINT. 0000. 0002</t>
  </si>
  <si>
    <t>3218402000031 - ANIMAL OJOS SALTONES. 0000. 0003</t>
  </si>
  <si>
    <t>3218402000048 - ANIMAL OJOS SALTONES. 0000. 0004</t>
  </si>
  <si>
    <t>3218405000014 - FLAMENCO MADERA ARTICULADO. 0000. 0001</t>
  </si>
  <si>
    <t>3218406000020 - LLAVERO MUÑECA TELA. 0000. 0002</t>
  </si>
  <si>
    <t>3218408000011 - LLAVERO SACA LENGUA. 0000. 0001</t>
  </si>
  <si>
    <t>3218412000014 - TIMBRE UNICORNIO LUZ. 0000. 0001</t>
  </si>
  <si>
    <t>SET 2 CALCETINES REGALO. 0000. 0004 - 3218440000048</t>
  </si>
  <si>
    <t>3218457000017 - SHOT DIVERTIDO. 0000. 0001</t>
  </si>
  <si>
    <t>3218457000024 - SHOT DIVERTIDO. 0000. 0002</t>
  </si>
  <si>
    <t>CUCHILLO PLEGABLE. 0000. 0001 - 3218571000016</t>
  </si>
  <si>
    <t>TABLA MADERA PREMIUM. 0000. 0001 - 3218690000010</t>
  </si>
  <si>
    <t>CUCHILLO PREMIUM L. 0000. 0001 - 3218701000015</t>
  </si>
  <si>
    <t>ESPEJO DISEÑO CARTERA. 0000. 0001 - 3218955000014</t>
  </si>
  <si>
    <t>ESPEJO DISEÑO CARTERA. 0000. 0002 - 3218955000021</t>
  </si>
  <si>
    <t>MANTA MANTA PESPUNTE. 0000. 0001 - 3219065000017</t>
  </si>
  <si>
    <t>MANTA MANTA PESPUNTE. 0000. 0002 - 3219065000024</t>
  </si>
  <si>
    <t>MANTA MANTA PESPUNTE. 0000. 0003 - 3219065000031</t>
  </si>
  <si>
    <t>MANTA JACQUARD TEXTURA. 0000. 0002 - 3219131000026</t>
  </si>
  <si>
    <t>MANTA JACQUARD TEXTURA. 0000. 0003 - 3219131000033</t>
  </si>
  <si>
    <t>MANTA JACQUARD DOS TONOS. 0000. 0001 - 3219169000012</t>
  </si>
  <si>
    <t>MANTA JACQUARD DOS TONOS. 0000. 0002 - 3219169000029</t>
  </si>
  <si>
    <t>MANTA JACQUARD DOS TONOS. 0000. 0003 - 3219169000036</t>
  </si>
  <si>
    <t>SHOWROOM</t>
  </si>
  <si>
    <t>CASA IDEAS</t>
  </si>
  <si>
    <t>codigo confia</t>
  </si>
  <si>
    <t>Descripción</t>
  </si>
  <si>
    <t>A1 - AGENDA PEQUEÑA SUPREME POWER 6925834049046</t>
  </si>
  <si>
    <t>A2 - AGENDA AZUL CON ANIMALES 6925834040241</t>
  </si>
  <si>
    <t>A3 - AGENDA DELUX VAN GOGH 6925834042092</t>
  </si>
  <si>
    <t>A4 - AGENDA NEGRA MEDIANA CON FLOR 6925834066777</t>
  </si>
  <si>
    <t>A5 - AGENDA PEQUEÑA NEGRO CON FLOR 6925834066760</t>
  </si>
  <si>
    <t>A6 - AGENDA DE MUJER CUADRADA HOJAS DORADA 6925834041637</t>
  </si>
  <si>
    <t>A7 - AGENDITA DE BOLSILLO FLOREADA 6925834036053</t>
  </si>
  <si>
    <t>A8 - AGENDA NEGRA GRANDE CON FLOR 6925834066784</t>
  </si>
  <si>
    <t>A9 - AGENDA DE MUJER RECTANGULAR HOJAS DORADA 6925834039245</t>
  </si>
  <si>
    <t>A10 - AGENDA PARA HOMBRE CON CARAS 6925834050295</t>
  </si>
  <si>
    <t>AGENDAS</t>
  </si>
  <si>
    <t>ALMACEN2</t>
  </si>
  <si>
    <t>CÓDIGO</t>
  </si>
  <si>
    <t>SHOOWROOM</t>
  </si>
  <si>
    <t>10319176-B/O Dinosaurio</t>
  </si>
  <si>
    <t>10310479-Torre de colapso</t>
  </si>
  <si>
    <t>10312310-DIY bloques de herramientas</t>
  </si>
  <si>
    <t>10331745-Doctor Play Set</t>
  </si>
  <si>
    <t>10334710-Kitchen Play Set</t>
  </si>
  <si>
    <t>10331318-Tool Play Set</t>
  </si>
  <si>
    <t>10331195-16CM''Fashion Doll</t>
  </si>
  <si>
    <t>10336866- Die-cast Car</t>
  </si>
  <si>
    <t>10336841-B/O Doll With Llight Music</t>
  </si>
  <si>
    <t>10338174-Solar Toy</t>
  </si>
  <si>
    <t>10338968-Puzzle</t>
  </si>
  <si>
    <t>10338627-Friction Car</t>
  </si>
  <si>
    <t>10338534-9'' Fashion Doll</t>
  </si>
  <si>
    <t>10279598-Disassembly Motorcycle</t>
  </si>
  <si>
    <t>10325781-Water Gun</t>
  </si>
  <si>
    <t>10306494-DIY Crown</t>
  </si>
  <si>
    <t>10326297-Soft Bullet Gun</t>
  </si>
  <si>
    <t>10303449-Dough Toys (2 styles mixed)</t>
  </si>
  <si>
    <t>10319294-bloques de construccion volquetas (8 estilos variados)</t>
  </si>
  <si>
    <t>10304116-DIY Set de collar</t>
  </si>
  <si>
    <t>10304247-4.5'' Princesas con cuerpo pesado(6 estilos variados)</t>
  </si>
  <si>
    <t>10303252-Muñeco con mascara</t>
  </si>
  <si>
    <t>10302088-bloques para armar(182PCS)</t>
  </si>
  <si>
    <t>10302059-bloques para armar gasolineria(178PCS)</t>
  </si>
  <si>
    <t>10303262-juego de maquillaje</t>
  </si>
  <si>
    <t>10291995-Minifigures Blocks Watch</t>
  </si>
  <si>
    <t>10273777-bloques de construccion(38PCS)</t>
  </si>
  <si>
    <t>10276089-Set de militares</t>
  </si>
  <si>
    <t>10276601-Set de juego de mascotas</t>
  </si>
  <si>
    <t>10276536-Set de belleza</t>
  </si>
  <si>
    <t>10276535-Set de herramientas</t>
  </si>
  <si>
    <t>10124856-Set de militares</t>
  </si>
  <si>
    <t>10213947-Set de juego de Te</t>
  </si>
  <si>
    <t>Avión Blister Celeste</t>
  </si>
  <si>
    <t>CHIKIPOOM</t>
  </si>
  <si>
    <t>Precio unitario</t>
  </si>
  <si>
    <t>Conteo total</t>
  </si>
  <si>
    <t>Total</t>
  </si>
  <si>
    <t>Nombre</t>
  </si>
  <si>
    <t>CONTEO</t>
  </si>
  <si>
    <t>JARRA 1.3 LT 55052 CASA BLANCA - PASABAHCE COD. BB-6043</t>
  </si>
  <si>
    <t>MOLDE BOLO - ROCHEDO COD. 1268</t>
  </si>
  <si>
    <t>MOLDE P /TORTA./ FORMA PUDIM 22 TEFLON. - ROCHEDO COD. 1270</t>
  </si>
  <si>
    <t>MOLDE P /TORTA./ FORMA PUDIM 20 TEFLON. - ROCHEDO COD. 1269</t>
  </si>
  <si>
    <t>BORCAN CACEROLA - 59003</t>
  </si>
  <si>
    <t>ERNURA PLUS EDREDONES - 1299</t>
  </si>
  <si>
    <t>SET 4 PIEZAS DISOLLE - 1227</t>
  </si>
  <si>
    <t>WAFLERA MAGEFESA - 8211</t>
  </si>
  <si>
    <t>WAFLERA MAGEFESA - 8210</t>
  </si>
  <si>
    <t>ESTUFA MORLEY</t>
  </si>
  <si>
    <t>VASOS P /CAPUCHINO 230CC - PASABAHCE COD. 55141</t>
  </si>
  <si>
    <t>Código 
Interno</t>
  </si>
  <si>
    <t>Código Original</t>
  </si>
  <si>
    <t>Precio/Unitario</t>
  </si>
  <si>
    <t>341180909104-CACEROLA BISTRO 20X8.5CM ALUMINIO 713-</t>
  </si>
  <si>
    <t>341180909135-OLLA BISTRO 24X10.5CM ALUMINIO 713-909</t>
  </si>
  <si>
    <t>7450106076257-ALFOMBRA DE BANO HOME BLANK</t>
  </si>
  <si>
    <t>341180859225-SET FRASCOS LIFE ART 3PZ VIDRIO 752-85</t>
  </si>
  <si>
    <t>96922014A2</t>
  </si>
  <si>
    <t>96922014A2-PARRILLA P/BBQ MAX MOTOR 35CM ACERO IN</t>
  </si>
  <si>
    <t>8693357013278-6-TAZA C/PLATO (BASIC)SET D/12PCS</t>
  </si>
  <si>
    <t>8693357050013-TAZA C/PLATO (VELA) SET D/12PCS</t>
  </si>
  <si>
    <t>8693357254589-SET DE PLATILLOS PASABAHCE  6 PZS 1048</t>
  </si>
  <si>
    <t>818800615016-ACEITERA/VINAGRERA 25CM TRANS</t>
  </si>
  <si>
    <t>815725007384-MOLDE P/HOREAR  NEGRO MAYS</t>
  </si>
  <si>
    <t>8693357288294-SET DE POSTRES PASABAHCE 6UN</t>
  </si>
  <si>
    <t>815725007377-MOLDE P/HORNEAR 33X23X5CM NEGRO</t>
  </si>
  <si>
    <t>815725007490-MOLDE P/HORNEAR REDONDO 30X4CM NEGRO</t>
  </si>
  <si>
    <t>8693357266148-SET DE PLATOS PASABAHCE 6 PZS 10479T</t>
  </si>
  <si>
    <t>8693357252660-SET DE PLATILLOS PASABAHCE  6 PZS 1047</t>
  </si>
  <si>
    <t>8693357242753-SET DE PLATILLOS PASABAHCE  6 PZS 1049</t>
  </si>
  <si>
    <t>341180919189-MANGUERA P/JARDIN MAX MOTOR 5M  964-91</t>
  </si>
  <si>
    <t>8693357053977-PLATO PASABAHCE HONDO 6PZ 10331</t>
  </si>
  <si>
    <t>7891155038979-COPA WINDSOR 11 1/4OZ (335ML)</t>
  </si>
  <si>
    <t>818800613692-PLATO HOJA BISTRO 38CM CERAMICA 34222</t>
  </si>
  <si>
    <t>818800627675-BOWL REDONDO BISTRO 25CM CERAMICA 3292</t>
  </si>
  <si>
    <t>818800627712-BOWL CUADRADO BISTRO 17CM CERAMICA 329</t>
  </si>
  <si>
    <t>818800627651-BOWL RECTANGULAR BISTRO 23X14CM CERAMI</t>
  </si>
  <si>
    <t>818800627729-BOWL CUADRADO BISTRO 20CM CERAMICA 329</t>
  </si>
  <si>
    <t>818800627736-BOWL CUADRADO BISTRO 22CM CERAMICA 329</t>
  </si>
  <si>
    <t>818800627668-ENSALADERA BISTRO 28CM CERAMICA 705-32</t>
  </si>
  <si>
    <t>818800613005-PLATO OVAL BISTRO 36X24CM CERAMICA 343</t>
  </si>
  <si>
    <t>818800613708-PLATO OVAL BISTRO 40X28CM CERAMICA 342</t>
  </si>
  <si>
    <t>341180909623-FUENTE P/ HORNEAR LIFE ART 27.5X15X6.5</t>
  </si>
  <si>
    <t>341180909630-FUENTE P/HORNEAR LIFE ART CERAMICA 705</t>
  </si>
  <si>
    <t>341180909692-FUENTE P/HORNEAR LIFE ART CERAMICA 705</t>
  </si>
  <si>
    <t>341180909685-FUENTE P/ HORNEAR LIFE ART 22X16.5X6.5</t>
  </si>
  <si>
    <t>818800613692 x</t>
  </si>
  <si>
    <t>818800613692 x-PLATO HOJA BISTRO 38CM CERAMICA 34222</t>
  </si>
  <si>
    <t>8992787932075 - SET DE ENSALADERAS CHLOE 7PZA</t>
  </si>
  <si>
    <t>815725007216 - MOLDE P/HORNEAR 38X26X19CM</t>
  </si>
  <si>
    <t>341180919172 - MANGUERA P/JARDIN MAX MOTOR 2.5M  964-</t>
  </si>
  <si>
    <t>35077 - MC-JARRA FESTIVAL PASABAHACE 1800 ML</t>
  </si>
  <si>
    <t>35083 - JARRA CITY PASABAHCE</t>
  </si>
  <si>
    <t>35098 - COPA DE CHAMPAGNE ALLEGRA PASABAHCE</t>
  </si>
  <si>
    <t>35099 - PACK VASO ALEGRA RED WINE 490CC</t>
  </si>
  <si>
    <t>35097 - COPA AGUA MONTE CARLO 325CC</t>
  </si>
  <si>
    <t>35080 - SET JARRA Y VASOS AZUL PASABAHCE</t>
  </si>
  <si>
    <t>822 - SET VASOS 12PZAS MAYS</t>
  </si>
  <si>
    <t>MAKRO</t>
  </si>
  <si>
    <t>Conteo</t>
  </si>
  <si>
    <t>Moto Serna Lyon 150cc - color Rojo</t>
  </si>
  <si>
    <t>Moto Serna Lyon 150cc - color Negro</t>
  </si>
  <si>
    <t>Moto Serna Lyon 200cc -color Negro</t>
  </si>
  <si>
    <t>Moto Serna Lyon 200cc - color Rojo</t>
  </si>
  <si>
    <t>Moto Serna Link 110cc - color Rojo</t>
  </si>
  <si>
    <t>Moto Serna Wind 110cc - color Rojo</t>
  </si>
  <si>
    <t>Moto Serna Style 125R -  color Plata</t>
  </si>
  <si>
    <t>OBSERVACION</t>
  </si>
  <si>
    <t>1 ARRUINADA</t>
  </si>
  <si>
    <t>1 vidrio roto</t>
  </si>
  <si>
    <t>SHOWROOM ARRUINADOS</t>
  </si>
  <si>
    <t>Espuma Carnavalera 450cc</t>
  </si>
  <si>
    <t>Total Conteo</t>
  </si>
  <si>
    <t>TOTAL</t>
  </si>
  <si>
    <t>PRECIO</t>
  </si>
  <si>
    <t>VINO TINTO CLASICO</t>
  </si>
  <si>
    <t>VINO TINTO BLEND</t>
  </si>
  <si>
    <t>VINO TINTO CABERNET</t>
  </si>
  <si>
    <t>VINO TINTO MALBEC</t>
  </si>
  <si>
    <t>VINO BLANCO CLASICO</t>
  </si>
  <si>
    <t>KHOLBERG</t>
  </si>
  <si>
    <t>DIEGO EID</t>
  </si>
  <si>
    <t>DETALLE</t>
  </si>
  <si>
    <t xml:space="preserve">CANTIDAD </t>
  </si>
  <si>
    <t>PRECIO ACTUALES</t>
  </si>
  <si>
    <t>LLAVERO DE FUTBOL DEL CLUB PARIS</t>
  </si>
  <si>
    <t>EUROCASCOS</t>
  </si>
  <si>
    <t>Precio de venta</t>
  </si>
  <si>
    <t>SCOYCO guante MC29 Rojo  Talla XL</t>
  </si>
  <si>
    <t>Categoría</t>
  </si>
  <si>
    <t>Subcategoría</t>
  </si>
  <si>
    <t>Bomba 2Lt - 105018</t>
  </si>
  <si>
    <t>HOGAR</t>
  </si>
  <si>
    <t>LIMPIEZA Y DESINFECCIÒN</t>
  </si>
  <si>
    <t>Sanitizer Listo Pro 5Lt - 102033</t>
  </si>
  <si>
    <t>Super Clean 500 Ml - 102023</t>
  </si>
  <si>
    <t>Sanitizer Pro 500 Ml - 102011</t>
  </si>
  <si>
    <t>Kit para lavado de motos - 105017</t>
  </si>
  <si>
    <t>VEHICULOS Y MOTOS</t>
  </si>
  <si>
    <t>Medidor</t>
  </si>
  <si>
    <t>Envase de 1lt. Con atomizador</t>
  </si>
  <si>
    <t>KIMPRO</t>
  </si>
  <si>
    <t>conteo</t>
  </si>
  <si>
    <t>Granola Plus Roxi - 300 grs. - 7771258600054</t>
  </si>
  <si>
    <t>Granola Dulce Roxi - 350 grs. - 7771258600016</t>
  </si>
  <si>
    <t>Granola Dietetica Roxi - 350 grs. - 7771258600023</t>
  </si>
  <si>
    <t>Mermelada de Pimentón Roxi - 260 grs./u - 7771258600085</t>
  </si>
  <si>
    <t>Mermelada de Locoto Roxi 260 grs./u - 7771258600092</t>
  </si>
  <si>
    <t>LISOFORT</t>
  </si>
  <si>
    <t>Lisofort</t>
  </si>
  <si>
    <t>GUABIRA</t>
  </si>
  <si>
    <t>PACK DE 8 UNIDADES DE ALCOHOL DE LITRO</t>
  </si>
  <si>
    <t>BIFERA CANELADA CUADRADA - 2601002</t>
  </si>
  <si>
    <t>SARTEN 4 HUEVOS - 2601027</t>
  </si>
  <si>
    <t>NUEVA CAFETERA BRITANIA BCF15L 550W 15 TAZAS DE CAFÉ 63901106</t>
  </si>
  <si>
    <t>CAFETERA BRITANIA CP28 63902084 - 3101005</t>
  </si>
  <si>
    <t>LICUADORA BRITANIA DIAMANTE NEGRA 33102118POTENCIA 900W. 4 VELOCIDADES. C/FILTRO. 2.65 LITROS PICA HIELO - 3102001</t>
  </si>
  <si>
    <t>LICUADORA BRITANIA BLQ950 NEGRA 220V POTENCIA 900W  VASO DE VIDRIO; 3102007</t>
  </si>
  <si>
    <t>EXPRIMIDOR BELLAGIO MAXX. CAPACIDAD 1.5 LITROS. 35W  33302010 - 3103001</t>
  </si>
  <si>
    <t>EXPRIMIDOR TURBO PRO ROJO POTENCIA DE 260 W. JARRA 1.3 LITRO. 2 CONOS PARA EXTRACCIÓN DE JUGO. - 3103003</t>
  </si>
  <si>
    <t>GRILL BRITANIA GOURMET BURGER 066702124</t>
  </si>
  <si>
    <t>OMELETEIRA DUO PLUS BRO2 220V 64502008 - 3104012</t>
  </si>
  <si>
    <t>HERVIDOR  BRITANIA ELECTRICO INOX. CAPACIDAD 1.7 LITROS 63952005 - 3107001</t>
  </si>
  <si>
    <t>PIPOQUERA BRITANIA POP TIME ROJA.NO NECESITA ACEITE. TIENE SISPENSADOR   62552002; 3110001</t>
  </si>
  <si>
    <t>PIPOQUERAPOP MOVIE BPI06V 220V / 625520011; 3110011</t>
  </si>
  <si>
    <t>PLANCHA A VAPOR PORTATIL 750W62252008 - 3112002</t>
  </si>
  <si>
    <t>SANDWICHERA GRILL TOAST ROJA. 750W PLACAS ONDULADAS ANTIADHERENTES - 230038 - 3104009</t>
  </si>
  <si>
    <t>MINI PROCESADOR DE ALIMENTOS BRITANIA 2P - 63302004 - 3108003 - 230042</t>
  </si>
  <si>
    <t>CORTADOR DE PELO TRIMMER NARIZ/BARBA/PATILLA BATERIA AA, 065303000 - 3114002</t>
  </si>
  <si>
    <t>SARTEN WOK GOURMET N°28 / 54228 - 2601013</t>
  </si>
  <si>
    <t>NUEVA PLANCHA DE ROPA BRITANIA FE FB197 A 1200W 220V ANTIADHERENTE. VAPOR. 63602070 - 3112004</t>
  </si>
  <si>
    <t>DISPENSADOR DE AGUA BLANCO BBE03BF - BIVOLT 35103001; 3116001</t>
  </si>
  <si>
    <t>BIFERA CANELADA REDONDA GOURMET / 55130 - 2601026</t>
  </si>
  <si>
    <t>GRILL Y SANDWICHERA  BRITANIA BELLO PANE INOX 66702096 - 3104001</t>
  </si>
  <si>
    <t>SANDWICHERA GRILL TOAST NEGRO. PLACAS ONDULADAS ANTIADHERENTES 066702136 - 3104003</t>
  </si>
  <si>
    <t>OLLA ARROCERA PA5 PRIME NEGRA 10 TAZAS DE ARROZ; 3105001</t>
  </si>
  <si>
    <t>VENTILADOR DE COLUMNA BRITANIA MEGA TURBO 30 SIX DE 55 W - 3111006</t>
  </si>
  <si>
    <t>COCINA 3 EN 1; 3121002</t>
  </si>
  <si>
    <t>SARTEN GOURMET N°28/55020 - 2601018</t>
  </si>
  <si>
    <t>SARTEN WOK MINERAL N.º 28 / 64228 - 2603012</t>
  </si>
  <si>
    <t>SARTEN MINERAL N.º 24 / 64424 - 2603018</t>
  </si>
  <si>
    <t>ESPATULA PEQUEÑA ACCESORIOS - 2614010</t>
  </si>
  <si>
    <t>CONJ. ESPATULAS 3PZCS - 2614021</t>
  </si>
  <si>
    <t>ESPUMADERA ACCESORIOS - 2614023</t>
  </si>
  <si>
    <t>PIPOQUERA Nª 22 - 2615004</t>
  </si>
  <si>
    <t>CAFETERA BRITANIA BCF36L - 63902087 - 3101008</t>
  </si>
  <si>
    <t>SARTEN DOBLE GOURMET N° 24/255124 - 2601011</t>
  </si>
  <si>
    <t>conteo2</t>
  </si>
  <si>
    <t>Observaciones</t>
  </si>
  <si>
    <t>STIRPE TINTO CLASICO</t>
  </si>
  <si>
    <t>ESTIRPE TIPO OPORTO 6 X 700ML -7772110000371</t>
  </si>
  <si>
    <t>CARMIN 6 X 700ML - 7772110000760</t>
  </si>
  <si>
    <t>INFINITUM 12 X 750ML  (FC -RS-CH) - 777210000869</t>
  </si>
  <si>
    <t>COSECHA TARDIA MOSCATEL DE ALEJANDRIA 750ML - 7772110000883</t>
  </si>
  <si>
    <t>AFEIT ELEC POWERFLEX360 REMINGTON P - 74590534474 - 42419</t>
  </si>
  <si>
    <t>LICUADORA 7 VELOCIDADES B&amp;amp;D BLP7600 - 50875801134 - 43110</t>
  </si>
  <si>
    <t>ALISADORA REM WET2STRAIGHT S7300 - 74590543667 - 43742</t>
  </si>
  <si>
    <t>SHAMPOO MANZANILLA 200MLx12</t>
  </si>
  <si>
    <t>PlANCHA CON SUELA DE CERAMICA BLACK+ DECKER COD. IR2060</t>
  </si>
  <si>
    <t>PlANCHA CON SUELA DE CERAMICA BLACK+ DECKER COD. IR1820</t>
  </si>
  <si>
    <t>TOSTADORA 2 REBANADAS B&amp;amp;D TR200BD - 43724</t>
  </si>
  <si>
    <t>BELDENT INFINIT WILD MINT 12X12X26.6 G - 70267</t>
  </si>
  <si>
    <t>BELDENT INFINIT WOW MINT 12X12X26,6 GR - 70266</t>
  </si>
  <si>
    <t>1 vencido</t>
  </si>
  <si>
    <t>BELDENT MENTA 20X20X6 - 70242</t>
  </si>
  <si>
    <t>ZUKO MOCOCHINCHI 8X12X25 G - 91208</t>
  </si>
  <si>
    <t>ZUKO TE VERDE LIMON 8X12X20 - 91245</t>
  </si>
  <si>
    <t>ZUKO MANZANA 8X12X25G - 91201</t>
  </si>
  <si>
    <t>HALLS MENTHO LYPTUS 30X12X9 - 70173</t>
  </si>
  <si>
    <t>HALLS SANDIA LYPTUS 30X12X9 - 70176</t>
  </si>
  <si>
    <t>WOK ¥24Ca 2,3L GARLIC ROJO - 709008</t>
  </si>
  <si>
    <t>JGO. CUBIERTO ACERO INOX. 24 PZ ITAPARICA NEGRO - 709084</t>
  </si>
  <si>
    <t>CALDERA BRINOX. 2L COLOR PLOMA - 709248</t>
  </si>
  <si>
    <t>PANQUEQUERA  ¥22 0,45 L CHI.PRA - 709261</t>
  </si>
  <si>
    <t>OMELETERA ¥14CM CHILLI CHERRY - 709316</t>
  </si>
  <si>
    <t>Vino La Concepcion Estirpe Fino Tinto</t>
  </si>
  <si>
    <t>Vino La Concepcion Cosecha Tardia Cabernet Cabernet Franc</t>
  </si>
  <si>
    <t>Vino La Concepcion Salvaje</t>
  </si>
  <si>
    <t>SEPARADO</t>
  </si>
  <si>
    <t>2 NO PINTAN</t>
  </si>
  <si>
    <t>1 NO PINTA</t>
  </si>
  <si>
    <t>37 NO PINTAN</t>
  </si>
  <si>
    <t>5 NO PINTAN</t>
  </si>
  <si>
    <t>NOMBRE DETALLE Y CODIGO</t>
  </si>
  <si>
    <t xml:space="preserve">CONTEO </t>
  </si>
  <si>
    <t>LICUADORA TURBO POWER C/FILTRO 500W BLANCA - L-99 WG</t>
  </si>
  <si>
    <t>CORTADOR ESPIRAL &amp; MIXER ELETRIC SPIRALIZER 350W - CS-03</t>
  </si>
  <si>
    <t>LICUADORA PERSONAL BLENDER 300W - DG-01</t>
  </si>
  <si>
    <t>LICUADORA TURBO PROFESIONAL 1200W NEGRA - L-1200 BI</t>
  </si>
  <si>
    <t>LICUADORA PREMIUM SILVER 800W - L-51</t>
  </si>
  <si>
    <t>LICUADORA TURBO POWER C/FILTRO 500W NEGRA - L-99 FB</t>
  </si>
  <si>
    <t>KIT (JARRA 2L Y 6 VASOS 300ML) ROJO - UZ146-VM</t>
  </si>
  <si>
    <t>JGO 3 PZAS CONTENEDOR PREMIUM ROSA - UZ1880-ROS</t>
  </si>
  <si>
    <t>JGO 3 PZAS CONTENEDOR PREMIUM VERDE MENTA - UZ1880-VEM</t>
  </si>
  <si>
    <t>JGO 3 PZAS CONTENEDOR PREMIUM ROJO - UZ1880-VM</t>
  </si>
  <si>
    <t>JGO DE 3 PZAS CONTENEDOR DE ALIM. BLANCO TRANSL. - UZ1882-BR</t>
  </si>
  <si>
    <t>CONTENEDOR PREMIUM 2,5 L ROSA - UZ210-ROS</t>
  </si>
  <si>
    <t>CONTENEDOR PREMIUM 2,5 L VERDE MENTA - UZ210-VEM</t>
  </si>
  <si>
    <t>CONTENEDOR PREMIUM 2,5 L ROJO - UZ210-VM</t>
  </si>
  <si>
    <t>CONTENEDOR PREMIUM 5L ROSA - UZ211-ROS</t>
  </si>
  <si>
    <t>CONTENEDOR PREMIUM 5 L VERDE MENTA - UZ211-VEM</t>
  </si>
  <si>
    <t>CONTENEDOR PREMIUM 5L ROJO - UZ211-VM</t>
  </si>
  <si>
    <t>CONTENEDOR PREMIUM 10L ROSA - UZ212-ROS</t>
  </si>
  <si>
    <t>CONTENEDOR PREMIUM 10 L VERDE AGUA - UZ212-VA</t>
  </si>
  <si>
    <t>CONTENEDOR PREMIUM 10 L VERDE MENTA - UZ212-VEM</t>
  </si>
  <si>
    <t>CONTENEDOR PREMIUM 10 L ROJO - UZ212-VM</t>
  </si>
  <si>
    <t>JGO CONTENEDORES 4 PZAS PREMIUM 0,8/2/4/6L ROSA - UZ219-ROS</t>
  </si>
  <si>
    <t>JGO CONTENED. 4 PZAS PREMIUM 0,8/2/4/6L ROJO - UZ219-VM</t>
  </si>
  <si>
    <t>COMBO FIESTA 3 PZAS TRANSPARENTE TRANSL. - UZ220-TR</t>
  </si>
  <si>
    <t>COMBO FIESTA 3 PZAS ROJO TRANSL. - UZ220-VM</t>
  </si>
  <si>
    <t>CONTENEDOR RECTANG. 1,5L ROSA - UZ225-ROS</t>
  </si>
  <si>
    <t>CONTENEDOR RECTANG. 1,5L ROJO - UZ225-VM</t>
  </si>
  <si>
    <t>CONTENEDOR RECTANG. 1,5L VERDE MENTA - UZ225-VEM</t>
  </si>
  <si>
    <t>CONTENEDOR RECTANG. 3L ROSA - UZ226-ROS</t>
  </si>
  <si>
    <t>CONTENEDOR RECTANG. 3L ROJO - UZ226-VM</t>
  </si>
  <si>
    <t>CONTENEDOR RECTANG. 3L VERDE MENTA - UZ226-VEM</t>
  </si>
  <si>
    <t>CONTENEDOR RECTANG. 5L ROSA - UZ227-ROS</t>
  </si>
  <si>
    <t>CONTENEDOR RECTANG. 5L VERDE MENTA - UZ227-VEM</t>
  </si>
  <si>
    <t>CONTENEDOR RECTANG. 5L ROJO - UZ227-VM</t>
  </si>
  <si>
    <t>JARRA 3 LTS C/FILTRO ROSA - UZ254-ROS</t>
  </si>
  <si>
    <t>JARRA 3 LTS C/FILTRO TRANSPARENTE - UZ254-TR</t>
  </si>
  <si>
    <t>JARRA 3 LTS C/FILTRO VERDE AGUA - UZ254-VA</t>
  </si>
  <si>
    <t>JARRA 3 LTS C/FILTRO ROJO TRANSL. - UZ254-VM</t>
  </si>
  <si>
    <t>JARRA GOLD 3L ROSA - UZ255-ROS</t>
  </si>
  <si>
    <t>JARRA GOLD 3L VERDE MENTA - UZ255-VEM</t>
  </si>
  <si>
    <t>JARRA GOLD 3L ROJO - UZ255-VM</t>
  </si>
  <si>
    <t>CONTENEDOR PREMIUM 1,5L ROSA - UZ256-ROS</t>
  </si>
  <si>
    <t>CONTENEDOR PREMIUM 1,5L VERDE MENTA - UZ256-VEM</t>
  </si>
  <si>
    <t>CONTENEDOR PREMIUM 1,5L ROJO - UZ256-VM</t>
  </si>
  <si>
    <t>CONTENEDOR PREMIUM 5,5L ROSA - UZ257-ROS</t>
  </si>
  <si>
    <t>CONTENEDOR PREMIUM 5,5L VERDE MENTA - UZ257-VEM</t>
  </si>
  <si>
    <t>CONTENEDOR PREMIUM 5,5L ROJO - UZ257-VM</t>
  </si>
  <si>
    <t>JGO 5 PZAS MANTENEDOR DE ALIM. VISION ROSA TRANSL. - UZ284-ROS</t>
  </si>
  <si>
    <t>JGO 5 PZAS MANTENEDOR DE ALIM. VERDE MENTA TRANSL. - UZ284-VEM</t>
  </si>
  <si>
    <t>CONTENEDOR CUADRADO 5L PREMIUM ROJO - UZ294-VM</t>
  </si>
  <si>
    <t>CONTENEDOR CUADRADO 2,5L PREMIUM ROSA - UZ295-ROS</t>
  </si>
  <si>
    <t>CONTENEDOR CUADRADO 2,5L PREMIUM VERDE AGUA - UZ295-VA</t>
  </si>
  <si>
    <t>CONTENEDOR CUADRADO 2,5L PREMIUM VERDE MENTA - UZ295-VEM</t>
  </si>
  <si>
    <t>CONTENEDOR  CUADRADO 2,5L PREMIUM ROJO - UZ295-VM</t>
  </si>
  <si>
    <t>CONTENEDOR CUADRADO 1,5L PREMIUN ROSA - UZ296-ROS</t>
  </si>
  <si>
    <t>CONTENEDOR CUADRADO 1,5L PREMIUN VERDE MENTA - UZ296-VEM</t>
  </si>
  <si>
    <t>CONTENEDOR CUADRADO 1,5L PREMIUN ROJO - UZ296-VM</t>
  </si>
  <si>
    <t>JGO CONTENEDORES CUADR. 4 PZAS PREMIUN ROSA - UZ298-ROS</t>
  </si>
  <si>
    <t>JGO CONTENEDORES CUADR. 4 PZAS PREMIUM VERDE MENTA - UZ298-VEM</t>
  </si>
  <si>
    <t>JGO CONTENEDORES CUADR. 4 PZAS PREMIUN ROJO - UZ298-VM</t>
  </si>
  <si>
    <t>MANTENEDOR DE ALIMENTOS 2,5L TRANSP. C/TAPA BLANCO - UZ311-BR</t>
  </si>
  <si>
    <t>MANTENEDOR DE ALIMENTOS 2,5L TRANSP. C/TAPA NEGRA - UZ311-PR</t>
  </si>
  <si>
    <t>MANTENEDOR DE ALIMENTOS 2,5L TRANSP. C/TAPA ROSA - UZ311-ROS</t>
  </si>
  <si>
    <t>MANTENEDOR ALIM. 2,5L TRANSP. C/TAPA VERDE MENTA - UZ311-VEM</t>
  </si>
  <si>
    <t>MANTENEDOR DE ALIMENTOS 2,5L TRANSP. C/TAPA ROJA - UZ311-VM</t>
  </si>
  <si>
    <t>FRUTERA PLUS ROSA - UZ328-ROS</t>
  </si>
  <si>
    <t>FRUTERA PLUS ROJO - UZ328-VM</t>
  </si>
  <si>
    <t>CESTO MEDIANO ROSA - UZ332-ROS</t>
  </si>
  <si>
    <t>CESTO MEDIANO VERDE MENTA - UZ332-VEM</t>
  </si>
  <si>
    <t>CESTO MEDIANO ROJO - UZ332-VM</t>
  </si>
  <si>
    <t>PORTA DETERGENTE NEGRO TRANSPARENTE TRANSL. - UZ354-PR</t>
  </si>
  <si>
    <t>PORTA DETERGENTE TRANSPARENTE TRANSL. - UZ354-TR</t>
  </si>
  <si>
    <t>ORGANIZADOR 8.5X17CM  TRANSPARENTE - UZ376-TR</t>
  </si>
  <si>
    <t>ORGANIZADOR 8.5X25.5CM  TRANSPARENTE - UZ378-TR</t>
  </si>
  <si>
    <t>ORGANIZADOR 17X25.5CM  TRANSPARENTE - UZ380-TR</t>
  </si>
  <si>
    <t>ORGANIZADOR C/DIVISION 12.5X34CM  TRANSP. - UZ382-TR</t>
  </si>
  <si>
    <t>ORGANIZADOR 12.5X34CM  TRANSP. - UZ386-TR</t>
  </si>
  <si>
    <t>ORGANIZADOR DE GAVETA 20X20CM  TRANSP. - UZ390-TR</t>
  </si>
  <si>
    <t>JARRA GOLD 1,5L PP ROSA - UZ660-ROS</t>
  </si>
  <si>
    <t>JARRA GOLD 1,5L PP VERDE MENTA - UZ660-VEM</t>
  </si>
  <si>
    <t>JARRA GOLD 1,5L PP ROJO - UZ660-VM</t>
  </si>
  <si>
    <t>Hulk - J18</t>
  </si>
  <si>
    <t>Student Grade - J20</t>
  </si>
  <si>
    <t>Advengers - M1</t>
  </si>
  <si>
    <t>Sonajeras - M14</t>
  </si>
  <si>
    <t>Set Te Princesa - M17</t>
  </si>
  <si>
    <t>Canasta De Frutas - M19</t>
  </si>
  <si>
    <t>Canasta De Verduras - M20</t>
  </si>
  <si>
    <t>Red De Pesca - M22</t>
  </si>
  <si>
    <t>Cajas Registradoras - M23</t>
  </si>
  <si>
    <t>Cornetes - M24</t>
  </si>
  <si>
    <t>Lona Pelotas - M25</t>
  </si>
  <si>
    <t>Cocina Amarilla - M26</t>
  </si>
  <si>
    <t>Mochilas De Soldado - M29</t>
  </si>
  <si>
    <t>Cars - M33</t>
  </si>
  <si>
    <t>Futboline - M34</t>
  </si>
  <si>
    <t>Set De Secadores - M35</t>
  </si>
  <si>
    <t>Bebé Con Bata De Baño - M41</t>
  </si>
  <si>
    <t>POLERA CON DISEÑOS TALLA "S"</t>
  </si>
  <si>
    <t>POLERA CON DISEÑOS TALLA "M"</t>
  </si>
  <si>
    <t>POLERA CON DISEÑOS TALLA "L"</t>
  </si>
  <si>
    <t>ARCHIVADOR CON HOJAS DE DIBUJO</t>
  </si>
  <si>
    <t>AGENDA SENCILLA 2020</t>
  </si>
  <si>
    <t>AGENDA 2020 PEQUEÑA</t>
  </si>
  <si>
    <t>BLOC DE NOTAS CON HOJAS AMARILLA (ESTUCHE DE CUERO)</t>
  </si>
  <si>
    <t>CINTA PORTATODA</t>
  </si>
  <si>
    <t>ESTUCHE DE COLORES</t>
  </si>
  <si>
    <t>ETIQUETAS AUTOADESIVAS</t>
  </si>
  <si>
    <t>AGARRA PAPELES</t>
  </si>
  <si>
    <t>LLAVERO NARANJA</t>
  </si>
  <si>
    <t>CESTA PARA USO DE ESCRITORIO</t>
  </si>
  <si>
    <t>MOUSE PAD NEGRO</t>
  </si>
  <si>
    <t>almacen</t>
  </si>
  <si>
    <t>showroom</t>
  </si>
  <si>
    <t>POR UNIDAD</t>
  </si>
  <si>
    <t>IMBIMEX</t>
  </si>
  <si>
    <t>MOXOS</t>
  </si>
  <si>
    <t>Total conteo</t>
  </si>
  <si>
    <t>ROXI</t>
  </si>
  <si>
    <t>COICOM</t>
  </si>
  <si>
    <t>AIDISA</t>
  </si>
  <si>
    <t>Conteo Total</t>
  </si>
  <si>
    <t>Almacen</t>
  </si>
  <si>
    <t>Showroom</t>
  </si>
  <si>
    <t>UZ MUNDIAL</t>
  </si>
  <si>
    <t>Codigo de barras</t>
  </si>
  <si>
    <t>CONFIA</t>
  </si>
  <si>
    <t>Actualizado 
24/08/22</t>
  </si>
  <si>
    <t>Actualizado a
24/08/22</t>
  </si>
  <si>
    <t>Actualizado
24/08/22</t>
  </si>
  <si>
    <t>Actualizado 
24/08/2022</t>
  </si>
  <si>
    <t>Actualizado a 
24/08/22</t>
  </si>
  <si>
    <t>Actualizado al
24/08/22</t>
  </si>
  <si>
    <t>Actualiazado asta
24/08/22</t>
  </si>
  <si>
    <t>2 UNIDADES DE OTRO 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</si>
</sst>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Bs-400A]* #,##0.00_-;\-[$Bs-400A]* #,##0.00_-;_-[$Bs-400A]* &quot;-&quot;??_-;_-@_-"/>
    <numFmt numFmtId="165" formatCode="0;\-0;;@"/>
  </numFmts>
  <fonts count="5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 Light"/>
      <family val="2"/>
      <scheme val="maj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2" borderId="2" xfId="0" applyFill="1" applyBorder="1"/>
    <xf numFmtId="0" fontId="0" fillId="0" borderId="2" xfId="0" applyBorder="1"/>
    <xf numFmtId="164" fontId="0" fillId="0" borderId="2" xfId="0" applyNumberFormat="1" applyBorder="1"/>
    <xf numFmtId="0" fontId="3" fillId="0" borderId="2" xfId="0" applyFont="1" applyBorder="1"/>
    <xf numFmtId="0" fontId="0" fillId="0" borderId="0" xfId="0" applyFill="1"/>
    <xf numFmtId="164" fontId="0" fillId="0" borderId="0" xfId="0" applyNumberFormat="1" applyFill="1"/>
    <xf numFmtId="14" fontId="0" fillId="0" borderId="0" xfId="0" applyNumberFormat="1"/>
    <xf numFmtId="0" fontId="0" fillId="0" borderId="2" xfId="0" applyFill="1" applyBorder="1"/>
    <xf numFmtId="165" fontId="0" fillId="0" borderId="0" xfId="0" applyNumberFormat="1" applyFill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1" fontId="0" fillId="0" borderId="0" xfId="0" applyNumberFormat="1" applyAlignment="1">
      <alignment wrapText="1"/>
    </xf>
    <xf numFmtId="1" fontId="0" fillId="0" borderId="0" xfId="0" applyNumberFormat="1" applyFill="1"/>
    <xf numFmtId="14" fontId="0" fillId="0" borderId="0" xfId="0" applyNumberFormat="1" applyAlignment="1">
      <alignment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72"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5" formatCode="0;\-0;;@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5" formatCode="0;\-0;;@"/>
    </dxf>
    <dxf>
      <numFmt numFmtId="1" formatCode="0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5" formatCode="0;\-0;;@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0" formatCode="General"/>
    </dxf>
    <dxf>
      <numFmt numFmtId="164" formatCode="_-[$Bs-400A]* #,##0.00_-;\-[$Bs-400A]* #,##0.00_-;_-[$Bs-400A]* &quot;-&quot;??_-;_-@_-"/>
    </dxf>
    <dxf>
      <numFmt numFmtId="1" formatCode="0"/>
    </dxf>
    <dxf>
      <numFmt numFmtId="1" formatCode="0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" formatCode="0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5" formatCode="0;\-0;;@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5" formatCode="0;\-0;;@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5" formatCode="0;\-0;;@"/>
    </dxf>
    <dxf>
      <numFmt numFmtId="164" formatCode="_-[$Bs-400A]* #,##0.00_-;\-[$Bs-400A]* #,##0.00_-;_-[$Bs-400A]* &quot;-&quot;??_-;_-@_-"/>
    </dxf>
    <dxf>
      <numFmt numFmtId="165" formatCode="0;\-0;;@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0" formatCode="General"/>
    </dxf>
    <dxf>
      <numFmt numFmtId="165" formatCode="0;\-0;;@"/>
    </dxf>
    <dxf>
      <numFmt numFmtId="1" formatCode="0"/>
    </dxf>
    <dxf>
      <numFmt numFmtId="1" formatCode="0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5" formatCode="0;\-0;;@"/>
    </dxf>
    <dxf>
      <numFmt numFmtId="164" formatCode="_-[$Bs-400A]* #,##0.00_-;\-[$Bs-400A]* #,##0.00_-;_-[$Bs-400A]* &quot;-&quot;??_-;_-@_-"/>
    </dxf>
    <dxf>
      <numFmt numFmtId="164" formatCode="_-[$Bs-400A]* #,##0.00_-;\-[$Bs-400A]* #,##0.00_-;_-[$Bs-400A]* &quot;-&quot;??_-;_-@_-"/>
    </dxf>
    <dxf>
      <numFmt numFmtId="165" formatCode="0;\-0;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ventario%20CONFIA%20con%20codigos%20de%20barr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%20de%20inventario/CASA%20IDE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A IDEAS"/>
      <sheetName val="AGENDAS"/>
      <sheetName val="CHIKIPOOM COMPRA"/>
      <sheetName val="IMBIMEX"/>
      <sheetName val="MAKRO"/>
      <sheetName val="MOXOS"/>
      <sheetName val="KHOLBERG"/>
      <sheetName val="DIEGO EID"/>
      <sheetName val="CROWN"/>
      <sheetName val="EUROCASCOS"/>
      <sheetName val="KIMPRO"/>
      <sheetName val="ROXI"/>
      <sheetName val="LISOFORT"/>
      <sheetName val="GUABIRA"/>
      <sheetName val="COICOM"/>
      <sheetName val="AIDISA"/>
      <sheetName val="UZ MUNDIAL"/>
      <sheetName val="COMCELL"/>
      <sheetName val="COLHER"/>
      <sheetName val="Conf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a ideas"/>
      <sheetName val="El Deber"/>
      <sheetName val="Bazar valdez"/>
      <sheetName val="CHIKIPOOM COMPRA"/>
      <sheetName val="CHIKIPOOM CONSIGNACION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E70F68-BDDC-4D80-AD12-ED0CA4024DCE}" name="Tabla1" displayName="Tabla1" ref="A2:J206" totalsRowCount="1">
  <autoFilter ref="A2:J205" xr:uid="{3DE70F68-BDDC-4D80-AD12-ED0CA4024DCE}">
    <filterColumn colId="6">
      <customFilters>
        <customFilter operator="notEqual" val=" "/>
      </customFilters>
    </filterColumn>
  </autoFilter>
  <sortState xmlns:xlrd2="http://schemas.microsoft.com/office/spreadsheetml/2017/richdata2" ref="A3:J205">
    <sortCondition ref="A2:A205"/>
  </sortState>
  <tableColumns count="10">
    <tableColumn id="1" xr3:uid="{89E39009-65B5-4C74-BE01-C306225A09D3}" name="Código"/>
    <tableColumn id="2" xr3:uid="{A9C1B5F2-6CAA-4195-B3E2-3D5CD35475F8}" name="Nombre Producto"/>
    <tableColumn id="3" xr3:uid="{FB99B0D8-0A0F-4A49-B7BC-56144CA37088}" name="RECEPCIÓN"/>
    <tableColumn id="9" xr3:uid="{76DD613F-67D5-4DDE-B0D9-6A9D8277725F}" name="ALMACEN" dataDxfId="39"/>
    <tableColumn id="10" xr3:uid="{89ACBA62-CFD4-48A3-A9CA-F4FFAB8551C3}" name="SHOWROOM" dataDxfId="38"/>
    <tableColumn id="5" xr3:uid="{754F27D2-A51E-4F34-AFC8-EC66D3D7A868}" name="SEPARADO" dataDxfId="37"/>
    <tableColumn id="7" xr3:uid="{980E3FF5-118C-4762-BDA8-A2A2BFFE6B83}" name="Conteo total" dataDxfId="36" totalsRowDxfId="16">
      <calculatedColumnFormula>Tabla1[[#This Row],[ALMACEN]]+Tabla1[[#This Row],[SHOWROOM]]+Tabla1[[#This Row],[SEPARADO]]</calculatedColumnFormula>
    </tableColumn>
    <tableColumn id="6" xr3:uid="{8CB2E9B1-91E7-4EA6-8D98-0B18850A6D2E}" name="Precio unitario" dataDxfId="17" totalsRowDxfId="15">
      <calculatedColumnFormula>VLOOKUP(Tabla1[[#This Row],[Código]], [2]!Tabla1[#Data], 8,)</calculatedColumnFormula>
    </tableColumn>
    <tableColumn id="8" xr3:uid="{40A8025F-BB08-4B40-A1A5-13AF0337CB08}" name="Total" totalsRowFunction="sum" dataDxfId="35" totalsRowDxfId="14">
      <calculatedColumnFormula>Tabla1[[#This Row],[Precio unitario]]*Tabla1[[#This Row],[Conteo total]]</calculatedColumnFormula>
    </tableColumn>
    <tableColumn id="12" xr3:uid="{FB664E08-AD6C-4D54-A382-F364005195B6}" name="OBSERV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F7D084-8EC9-48E9-A0F7-16434F2974AB}" name="Tabla2" displayName="Tabla2" ref="A2:G13" totalsRowCount="1">
  <autoFilter ref="A2:G12" xr:uid="{8CF7D084-8EC9-48E9-A0F7-16434F2974AB}">
    <filterColumn colId="4">
      <customFilters>
        <customFilter operator="notEqual" val=" "/>
      </customFilters>
    </filterColumn>
  </autoFilter>
  <tableColumns count="7">
    <tableColumn id="2" xr3:uid="{94EE01FF-536E-42C9-83CD-09D2AEB280C1}" name="codigo confia"/>
    <tableColumn id="3" xr3:uid="{A1B7E2EE-459B-4EC8-A861-D91DB08734AC}" name="Descripción"/>
    <tableColumn id="4" xr3:uid="{687F9B9C-92EE-4AA3-8588-30DA2DC00687}" name="SHOWROOM"/>
    <tableColumn id="5" xr3:uid="{EBAA0F16-C396-4D44-A0EA-3FB698045E35}" name="ALMACEN"/>
    <tableColumn id="6" xr3:uid="{61458551-7BE6-4C77-BBC4-CA47B1EC8101}" name="Conteo total" dataDxfId="71" totalsRowDxfId="34">
      <calculatedColumnFormula>Tabla2[[#This Row],[SHOWROOM]]+Tabla2[[#This Row],[ALMACEN]]</calculatedColumnFormula>
    </tableColumn>
    <tableColumn id="7" xr3:uid="{8922B08E-16A9-4F64-9AB0-44A82752E918}" name="Precio unitario" dataDxfId="70" totalsRowDxfId="33"/>
    <tableColumn id="8" xr3:uid="{0531DF68-E749-4EFD-A3ED-E25C4F69728A}" name="Total" totalsRowFunction="sum" dataDxfId="69" totalsRowDxfId="32">
      <calculatedColumnFormula>Tabla2[[#This Row],[Conteo total]]*Tabla2[[#This Row],[Precio unitario]]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8B26C9-28E9-4C8F-9C4D-B9F2DBA241CF}" name="Tabla3" displayName="Tabla3" ref="A2:G37" totalsRowCount="1">
  <autoFilter ref="A2:G36" xr:uid="{BA8B26C9-28E9-4C8F-9C4D-B9F2DBA241CF}">
    <filterColumn colId="4">
      <customFilters>
        <customFilter operator="notEqual" val=" "/>
      </customFilters>
    </filterColumn>
  </autoFilter>
  <tableColumns count="7">
    <tableColumn id="1" xr3:uid="{0B76353F-9622-4143-8159-73DBDE433B33}" name="CÓDIGO"/>
    <tableColumn id="2" xr3:uid="{501F99E9-9D8E-4035-9334-EFA1225AE3C2}" name="Descripción"/>
    <tableColumn id="3" xr3:uid="{C37730F5-1B40-4460-8F7A-362392E3E53C}" name="ALMACEN2"/>
    <tableColumn id="4" xr3:uid="{6CE8AFB6-AF44-4EDA-89C4-26DF00FE0A97}" name="SHOOWROOM"/>
    <tableColumn id="7" xr3:uid="{99C35166-1BB9-490C-8151-0372D841EE98}" name="Conteo Total" dataDxfId="68" totalsRowDxfId="31">
      <calculatedColumnFormula>Tabla3[[#This Row],[SHOOWROOM]]+Tabla3[[#This Row],[ALMACEN2]]</calculatedColumnFormula>
    </tableColumn>
    <tableColumn id="5" xr3:uid="{ED23CD2E-9482-439C-9D8B-3E08C2352C4A}" name="Precio unitario" dataDxfId="67" totalsRowDxfId="30"/>
    <tableColumn id="6" xr3:uid="{DA85DE9A-9427-4A53-BAFF-564B5951B450}" name="Total" totalsRowFunction="sum" dataDxfId="66" totalsRowDxfId="29">
      <calculatedColumnFormula>Tabla3[[#This Row],[Precio unitario]]*Tabla3[[#This Row],[Conteo Total]]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10FCE8-5792-4AE1-8738-BDC31D498237}" name="Tabla4" displayName="Tabla4" ref="A2:E14" totalsRowCount="1">
  <autoFilter ref="A2:E13" xr:uid="{9510FCE8-5792-4AE1-8738-BDC31D498237}"/>
  <tableColumns count="5">
    <tableColumn id="1" xr3:uid="{11A393FF-0BDF-4C63-816E-AFE0BCF3555F}" name="Código"/>
    <tableColumn id="2" xr3:uid="{BB4AC396-F568-4EE4-976F-3EEE32B5B2E3}" name="Nombre"/>
    <tableColumn id="3" xr3:uid="{85692C30-CD4B-40EE-B9B7-DCB44B19E495}" name="CONTEO"/>
    <tableColumn id="4" xr3:uid="{F0564F24-6E7C-442A-BE5A-935D7AAF47A5}" name="Precio unitario" dataDxfId="65" totalsRowDxfId="64"/>
    <tableColumn id="5" xr3:uid="{D474F860-E678-41A8-A0FD-8675D7FE72C6}" name="Total" totalsRowFunction="sum" dataDxfId="63" totalsRowDxfId="62">
      <calculatedColumnFormula>Tabla4[[#This Row],[Precio unitario]]*Tabla4[[#This Row],[CONTEO]]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C99CDA-2966-4EDD-8C56-E16B6AEA1EB8}" name="Tabla5" displayName="Tabla5" ref="A2:H47" totalsRowCount="1">
  <autoFilter ref="A2:H46" xr:uid="{C7C99CDA-2966-4EDD-8C56-E16B6AEA1EB8}">
    <filterColumn colId="5">
      <customFilters>
        <customFilter operator="notEqual" val=" "/>
      </customFilters>
    </filterColumn>
  </autoFilter>
  <tableColumns count="8">
    <tableColumn id="1" xr3:uid="{200C4F01-7FF5-45BE-8656-135932605E5B}" name="Código _x000a_Interno"/>
    <tableColumn id="2" xr3:uid="{54E540DF-964C-445B-8DB9-8C95D9EC90DD}" name="Código Original" dataDxfId="61" totalsRowDxfId="60"/>
    <tableColumn id="3" xr3:uid="{7F76A8DF-E204-4256-88A0-EC49B7E924B3}" name="Descripción"/>
    <tableColumn id="4" xr3:uid="{BA6B45E2-BB37-423F-AC6B-BB97570EE437}" name="ALMACEN"/>
    <tableColumn id="5" xr3:uid="{6D8999DE-20B5-4776-A046-A075F686261D}" name="SHOWROOM"/>
    <tableColumn id="6" xr3:uid="{106D5ACB-4B5F-4A95-80D0-694B0A0ED149}" name="Total Conteo" dataDxfId="59" totalsRowDxfId="58">
      <calculatedColumnFormula>Tabla5[[#This Row],[ALMACEN]]+Tabla5[[#This Row],[SHOWROOM]]</calculatedColumnFormula>
    </tableColumn>
    <tableColumn id="7" xr3:uid="{CB6E0CAE-48F8-43F9-A154-BC22CD5A7F4A}" name="Precio/Unitario" dataDxfId="57" totalsRowDxfId="56"/>
    <tableColumn id="8" xr3:uid="{BAD4418A-84B0-45C1-B187-96D816CDF588}" name="TOTAL" totalsRowFunction="sum" dataDxfId="55" totalsRowDxfId="54">
      <calculatedColumnFormula>Tabla5[[#This Row],[Precio/Unitario]]*Tabla5[[#This Row],[Total Conteo]]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18C645-F503-463D-B1F5-E32EC106EAE9}" name="Tabla6" displayName="Tabla6" ref="A2:D10" totalsRowCount="1">
  <autoFilter ref="A2:D9" xr:uid="{8F18C645-F503-463D-B1F5-E32EC106EAE9}">
    <filterColumn colId="2">
      <customFilters>
        <customFilter operator="notEqual" val=" "/>
      </customFilters>
    </filterColumn>
  </autoFilter>
  <tableColumns count="4">
    <tableColumn id="1" xr3:uid="{5B78004B-7A0C-44D2-ACE9-D36C15EB60F9}" name="Código"/>
    <tableColumn id="2" xr3:uid="{0C1110A3-3367-4E47-A93D-38280AF25F76}" name="Nombre Producto"/>
    <tableColumn id="3" xr3:uid="{D77F8002-474C-4263-8C6B-88BF85340706}" name="Conteo"/>
    <tableColumn id="4" xr3:uid="{58D83FCE-BC7E-4E2E-859A-09957160D69A}" name="Precio unitario" totalsRowFunction="sum" dataDxfId="53" totalsRowDxfId="2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950966-7C7F-4119-BCBA-161C0DD71952}" name="Tabla7" displayName="Tabla7" ref="A2:E8" totalsRowCount="1">
  <autoFilter ref="A2:E7" xr:uid="{FA950966-7C7F-4119-BCBA-161C0DD71952}">
    <filterColumn colId="2">
      <customFilters>
        <customFilter operator="notEqual" val=" "/>
      </customFilters>
    </filterColumn>
  </autoFilter>
  <tableColumns count="5">
    <tableColumn id="1" xr3:uid="{D8E43A48-C106-4E50-A127-64069F0634BE}" name="Código"/>
    <tableColumn id="2" xr3:uid="{6252F0EB-34EA-4CB9-9F25-051D7FCE2D5F}" name="Nombre"/>
    <tableColumn id="3" xr3:uid="{7FCDA299-DDF7-40E1-91A3-98DBCE66F49F}" name="CONTEO"/>
    <tableColumn id="4" xr3:uid="{82425E40-CA94-424B-A61A-C80510C5F18F}" name="PRECIO" dataDxfId="52" totalsRowDxfId="27"/>
    <tableColumn id="5" xr3:uid="{ED6C3329-27A8-4452-8623-7C6281B7D0F1}" name="TOTAL" totalsRowFunction="sum" dataDxfId="51" totalsRowDxfId="26">
      <calculatedColumnFormula>Tabla7[[#This Row],[PRECIO]]*Tabla7[[#This Row],[CONTEO]]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C2C981C-88B6-42C9-96D9-EBA49C944D57}" name="Tabla8" displayName="Tabla8" ref="A2:I9" totalsRowShown="0">
  <autoFilter ref="A2:I9" xr:uid="{2C2C981C-88B6-42C9-96D9-EBA49C944D57}"/>
  <tableColumns count="9">
    <tableColumn id="1" xr3:uid="{6E6BEE69-3ACF-4984-BF01-863FB2A5949A}" name="Código"/>
    <tableColumn id="2" xr3:uid="{877EE2BC-CFC7-4032-9E8F-BF79D14493BB}" name="Nombre Producto"/>
    <tableColumn id="3" xr3:uid="{C0273CB5-5C64-4F0D-9A0D-0EA957A3E6B0}" name="Categoría"/>
    <tableColumn id="4" xr3:uid="{5624EE54-AEB3-4AA4-A269-CD6339F238FE}" name="Subcategoría"/>
    <tableColumn id="10" xr3:uid="{6366EDD6-78CF-492F-9F61-F8ACE372D48A}" name="Almacen" dataDxfId="50"/>
    <tableColumn id="11" xr3:uid="{E31DADE8-E59E-4242-A695-607F64D2B652}" name="Showroom" dataDxfId="49"/>
    <tableColumn id="7" xr3:uid="{CD051AC3-E33E-456E-B59F-8C7062F28068}" name="Total conteo" dataDxfId="48">
      <calculatedColumnFormula>Tabla8[[#This Row],[Almacen]]+Tabla8[[#This Row],[Showroom]]</calculatedColumnFormula>
    </tableColumn>
    <tableColumn id="8" xr3:uid="{3DAE49CA-071F-4FE1-9C48-7C661C97DD67}" name="Precio unitario" dataDxfId="47"/>
    <tableColumn id="9" xr3:uid="{862D01A5-557F-4ECD-B11C-35A46E211427}" name="Total" dataDxfId="46">
      <calculatedColumnFormula>Tabla8[[#This Row],[Precio unitario]]*Tabla8[[#This Row],[Total conteo]]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24ABE7A-3A3A-4259-BDFD-25D037282AFF}" name="Tabla9" displayName="Tabla9" ref="A2:E8" totalsRowCount="1">
  <autoFilter ref="A2:E7" xr:uid="{724ABE7A-3A3A-4259-BDFD-25D037282AFF}"/>
  <tableColumns count="5">
    <tableColumn id="1" xr3:uid="{2A540197-B38E-4F2D-8C4F-ACC69F6F86D2}" name="Código"/>
    <tableColumn id="2" xr3:uid="{43E304C5-D97C-4B4B-A621-AB2855BA9EF7}" name="Nombre Producto"/>
    <tableColumn id="3" xr3:uid="{5F3E4F68-C7CD-47B6-B9D2-E46E287A9E7A}" name="conteo"/>
    <tableColumn id="4" xr3:uid="{FA9B4C00-F047-4D40-A738-F456BFC0F412}" name="Precio unitario" dataDxfId="45" totalsRowDxfId="44"/>
    <tableColumn id="5" xr3:uid="{FC5C77D3-22B2-42F0-94C3-AD6C11C9CACE}" name="Total" totalsRowFunction="sum" dataDxfId="43" totalsRowDxfId="42">
      <calculatedColumnFormula>Tabla9[[#This Row],[Precio unitario]]*Tabla9[[#This Row],[conteo]]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A84E74C-9405-463F-8D99-C168D2BD2944}" name="Tabla10" displayName="Tabla10" ref="A2:E38" totalsRowCount="1">
  <autoFilter ref="A2:E37" xr:uid="{2A84E74C-9405-463F-8D99-C168D2BD2944}">
    <filterColumn colId="2">
      <filters>
        <filter val="1"/>
        <filter val="10"/>
        <filter val="14"/>
        <filter val="2"/>
        <filter val="4"/>
        <filter val="5"/>
        <filter val="6"/>
        <filter val="7"/>
      </filters>
    </filterColumn>
  </autoFilter>
  <tableColumns count="5">
    <tableColumn id="1" xr3:uid="{CB7FAF9D-0B7E-4C7B-816E-899307ED4F49}" name="Código"/>
    <tableColumn id="2" xr3:uid="{267CBD81-0FC7-4B4F-A439-4CA6E5BF3234}" name="Nombre"/>
    <tableColumn id="3" xr3:uid="{33CB8D36-E446-4BBC-8F75-3DA185969CFF}" name="Conteo"/>
    <tableColumn id="4" xr3:uid="{5688713D-D59E-49A5-9658-C37B2E3D1FE7}" name="Precio unitario" dataDxfId="13" totalsRowDxfId="11"/>
    <tableColumn id="5" xr3:uid="{3FF4B018-CAE6-4718-AE49-EDC8B6683C96}" name="TOTAL" totalsRowFunction="sum" dataDxfId="12" totalsRowDxfId="10">
      <calculatedColumnFormula>Tabla10[[#This Row],[Precio unitario]]*Tabla10[[#This Row],[Conteo]]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9E31F6B-711E-481D-87C3-14A0296A9D21}" name="Tabla11" displayName="Tabla11" ref="A2:G31" totalsRowCount="1">
  <autoFilter ref="A2:G30" xr:uid="{09E31F6B-711E-481D-87C3-14A0296A9D21}">
    <filterColumn colId="2">
      <customFilters>
        <customFilter operator="notEqual" val=" "/>
      </customFilters>
    </filterColumn>
  </autoFilter>
  <tableColumns count="7">
    <tableColumn id="1" xr3:uid="{A890F0B1-6921-47CB-A417-9BA3F2CBCEFF}" name="Código"/>
    <tableColumn id="2" xr3:uid="{211030EC-E792-457D-95FE-FEA9ACA64F58}" name="Nombre"/>
    <tableColumn id="3" xr3:uid="{36E666B8-69B1-4D72-9C29-3D57AA8593E8}" name="conteo2"/>
    <tableColumn id="4" xr3:uid="{70444DC1-5A29-42DD-9885-EDD911ADDB75}" name="Precio unitario" dataDxfId="41" totalsRowDxfId="21"/>
    <tableColumn id="6" xr3:uid="{A96E538B-BFC1-4C54-9130-2D4B91FE1A8F}" name="TOTAL" totalsRowFunction="sum" dataDxfId="40" totalsRowDxfId="20">
      <calculatedColumnFormula>Tabla11[[#This Row],[Precio unitario]]*Tabla11[[#This Row],[conteo2]]</calculatedColumnFormula>
    </tableColumn>
    <tableColumn id="5" xr3:uid="{636C8232-11EE-4A2A-9D28-B90897945E8D}" name="Observaciones"/>
    <tableColumn id="7" xr3:uid="{F907489B-D1C9-4CB2-9A32-B5EA1DA48DBD}" name="Codigo de barras" dataDxfId="19" totalsRowDxfId="18">
      <calculatedColumnFormula>VLOOKUP(Tabla11[[#This Row],[Código]], [1]!Tabla11[#Data], 7,)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4EA54C8-6BD9-4D31-8008-6DD92AB664C0}" name="Tabla12" displayName="Tabla12" ref="A2:F84" totalsRowCount="1">
  <autoFilter ref="A2:F83" xr:uid="{34EA54C8-6BD9-4D31-8008-6DD92AB664C0}">
    <filterColumn colId="2">
      <customFilters>
        <customFilter operator="notEqual" val=" "/>
      </customFilters>
    </filterColumn>
  </autoFilter>
  <sortState xmlns:xlrd2="http://schemas.microsoft.com/office/spreadsheetml/2017/richdata2" ref="A4:F82">
    <sortCondition ref="A2:A83"/>
  </sortState>
  <tableColumns count="6">
    <tableColumn id="1" xr3:uid="{B7D1EC6A-0C53-4F76-B35D-A8A1EA5EB654}" name="CÓDIGO"/>
    <tableColumn id="2" xr3:uid="{855EEB56-B8B0-4CAF-8F0D-A7D4B9F2070D}" name="NOMBRE DETALLE Y CODIGO"/>
    <tableColumn id="3" xr3:uid="{983FE35D-EA74-4264-BA3D-9D2266CE7D49}" name="CONTEO " dataDxfId="25" totalsRowDxfId="9"/>
    <tableColumn id="4" xr3:uid="{13C46E1D-DC3D-4366-B49E-608CC302EB18}" name="Precio unitario" dataDxfId="24" totalsRowDxfId="8"/>
    <tableColumn id="5" xr3:uid="{993F084B-29FA-43D8-86D7-5124025912AB}" name="Total" totalsRowFunction="sum" dataDxfId="23" totalsRowDxfId="7">
      <calculatedColumnFormula>Tabla12[[#This Row],[Precio unitario]]*Tabla12[[#This Row],[CONTEO ]]</calculatedColumnFormula>
    </tableColumn>
    <tableColumn id="6" xr3:uid="{AE0CBB0B-A258-4DF5-887F-3DD81CF5A2C9}" name="Codigo de barras" dataDxfId="22" totalsRowDxfId="6">
      <calculatedColumnFormula>VLOOKUP(Tabla12[[#This Row],[CÓDIGO]], [1]!Tabla12[#Data], 6,)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CCCEA1E-BDCD-4F06-93A7-B6F8333E66F4}" name="Tabla13" displayName="Tabla13" ref="A2:G34" totalsRowCount="1">
  <autoFilter ref="A2:G33" xr:uid="{1CCCEA1E-BDCD-4F06-93A7-B6F8333E66F4}">
    <filterColumn colId="4">
      <customFilters>
        <customFilter operator="notEqual" val=" "/>
      </customFilters>
    </filterColumn>
  </autoFilter>
  <tableColumns count="7">
    <tableColumn id="1" xr3:uid="{DB47AA66-1A17-474E-9FF1-247438AD530D}" name="Código"/>
    <tableColumn id="2" xr3:uid="{67F3B707-FD85-483A-836A-951A3C8363F1}" name="Nombre Producto"/>
    <tableColumn id="4" xr3:uid="{BAE77ADE-E92A-426C-BA6F-923DB51264C1}" name="almacen"/>
    <tableColumn id="5" xr3:uid="{1B8B1F97-0D84-49BA-BC9B-A8B30205F9E0}" name="showroom"/>
    <tableColumn id="6" xr3:uid="{F5DFEB46-AEAF-40F8-914D-40E93F7BAFEE}" name="Conteo total" dataDxfId="5" totalsRowDxfId="2">
      <calculatedColumnFormula>Tabla13[[#This Row],[almacen]]+Tabla13[[#This Row],[showroom]]</calculatedColumnFormula>
    </tableColumn>
    <tableColumn id="3" xr3:uid="{600809FA-A855-4050-9230-B40274741C39}" name="Precio unitario" dataDxfId="4" totalsRowDxfId="1"/>
    <tableColumn id="7" xr3:uid="{16C3356E-07BD-41F2-86BC-B117C5984EE1}" name="Total" totalsRowFunction="sum" dataDxfId="3" totalsRowDxfId="0">
      <calculatedColumnFormula>Tabla13[[#This Row],[Precio unitario]]*Tabla13[[#This Row],[Conteo total]]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2F398-E567-430C-8245-CCD26080D882}">
  <dimension ref="A1:K206"/>
  <sheetViews>
    <sheetView zoomScaleNormal="100" workbookViewId="0">
      <selection activeCell="D2" sqref="D1:F1048576"/>
    </sheetView>
  </sheetViews>
  <sheetFormatPr baseColWidth="10" defaultRowHeight="14.4" x14ac:dyDescent="0.3"/>
  <cols>
    <col min="1" max="1" width="9.109375" bestFit="1" customWidth="1"/>
    <col min="2" max="2" width="57.88671875" bestFit="1" customWidth="1"/>
    <col min="3" max="3" width="12.88671875" bestFit="1" customWidth="1"/>
    <col min="4" max="4" width="11.77734375" hidden="1" customWidth="1"/>
    <col min="5" max="5" width="14.109375" hidden="1" customWidth="1"/>
    <col min="6" max="6" width="12.44140625" hidden="1" customWidth="1"/>
    <col min="7" max="7" width="13.6640625" bestFit="1" customWidth="1"/>
    <col min="8" max="8" width="15.44140625" bestFit="1" customWidth="1"/>
    <col min="9" max="9" width="12.33203125" hidden="1" customWidth="1"/>
    <col min="10" max="10" width="23.44140625" hidden="1" customWidth="1"/>
  </cols>
  <sheetData>
    <row r="1" spans="1:11" ht="31.8" x14ac:dyDescent="0.55000000000000004">
      <c r="A1" s="14" t="s">
        <v>208</v>
      </c>
      <c r="B1" s="14"/>
      <c r="C1" s="14"/>
      <c r="D1" s="14"/>
      <c r="E1" s="14"/>
      <c r="F1" s="14"/>
      <c r="G1" s="14"/>
      <c r="H1" s="14"/>
      <c r="I1" s="14"/>
      <c r="J1" s="14"/>
      <c r="K1" s="16" t="s">
        <v>578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207</v>
      </c>
      <c r="F2" t="s">
        <v>444</v>
      </c>
      <c r="G2" t="s">
        <v>261</v>
      </c>
      <c r="H2" t="s">
        <v>260</v>
      </c>
      <c r="I2" t="s">
        <v>262</v>
      </c>
      <c r="J2" t="s">
        <v>333</v>
      </c>
    </row>
    <row r="3" spans="1:11" x14ac:dyDescent="0.3">
      <c r="A3">
        <v>320001</v>
      </c>
      <c r="B3" t="s">
        <v>4</v>
      </c>
      <c r="C3">
        <v>31</v>
      </c>
      <c r="D3" s="9">
        <v>13</v>
      </c>
      <c r="E3" s="9">
        <v>10</v>
      </c>
      <c r="F3" s="9"/>
      <c r="G3" s="2">
        <f>Tabla1[[#This Row],[ALMACEN]]+Tabla1[[#This Row],[SHOWROOM]]+Tabla1[[#This Row],[SEPARADO]]</f>
        <v>23</v>
      </c>
      <c r="H3" s="1">
        <f>VLOOKUP(Tabla1[[#This Row],[Código]], [2]!Tabla1[#Data], 8,)</f>
        <v>4</v>
      </c>
      <c r="I3" s="1">
        <f>Tabla1[[#This Row],[Precio unitario]]*Tabla1[[#This Row],[Conteo total]]</f>
        <v>92</v>
      </c>
    </row>
    <row r="4" spans="1:11" x14ac:dyDescent="0.3">
      <c r="A4">
        <v>320002</v>
      </c>
      <c r="B4" t="s">
        <v>5</v>
      </c>
      <c r="C4">
        <v>10</v>
      </c>
      <c r="D4" s="9">
        <v>2</v>
      </c>
      <c r="E4" s="9">
        <v>1</v>
      </c>
      <c r="F4" s="9"/>
      <c r="G4" s="2">
        <f>Tabla1[[#This Row],[ALMACEN]]+Tabla1[[#This Row],[SHOWROOM]]+Tabla1[[#This Row],[SEPARADO]]</f>
        <v>3</v>
      </c>
      <c r="H4" s="1">
        <f>VLOOKUP(Tabla1[[#This Row],[Código]], [2]!Tabla1[#Data], 8,)</f>
        <v>100</v>
      </c>
      <c r="I4" s="1">
        <f>Tabla1[[#This Row],[Precio unitario]]*Tabla1[[#This Row],[Conteo total]]</f>
        <v>300</v>
      </c>
    </row>
    <row r="5" spans="1:11" x14ac:dyDescent="0.3">
      <c r="A5">
        <v>320004</v>
      </c>
      <c r="B5" t="s">
        <v>6</v>
      </c>
      <c r="C5">
        <v>67</v>
      </c>
      <c r="D5" s="9">
        <v>51</v>
      </c>
      <c r="E5" s="9"/>
      <c r="F5" s="9"/>
      <c r="G5" s="2">
        <f>Tabla1[[#This Row],[ALMACEN]]+Tabla1[[#This Row],[SHOWROOM]]+Tabla1[[#This Row],[SEPARADO]]</f>
        <v>51</v>
      </c>
      <c r="H5" s="1">
        <f>VLOOKUP(Tabla1[[#This Row],[Código]], [2]!Tabla1[#Data], 8,)</f>
        <v>16</v>
      </c>
      <c r="I5" s="1">
        <f>Tabla1[[#This Row],[Precio unitario]]*Tabla1[[#This Row],[Conteo total]]</f>
        <v>816</v>
      </c>
    </row>
    <row r="6" spans="1:11" x14ac:dyDescent="0.3">
      <c r="A6">
        <v>320005</v>
      </c>
      <c r="B6" t="s">
        <v>7</v>
      </c>
      <c r="C6">
        <v>62</v>
      </c>
      <c r="D6" s="9">
        <v>54</v>
      </c>
      <c r="E6" s="9"/>
      <c r="F6" s="9"/>
      <c r="G6" s="2">
        <f>Tabla1[[#This Row],[ALMACEN]]+Tabla1[[#This Row],[SHOWROOM]]+Tabla1[[#This Row],[SEPARADO]]</f>
        <v>54</v>
      </c>
      <c r="H6" s="1">
        <f>VLOOKUP(Tabla1[[#This Row],[Código]], [2]!Tabla1[#Data], 8,)</f>
        <v>16</v>
      </c>
      <c r="I6" s="1">
        <f>Tabla1[[#This Row],[Precio unitario]]*Tabla1[[#This Row],[Conteo total]]</f>
        <v>864</v>
      </c>
    </row>
    <row r="7" spans="1:11" x14ac:dyDescent="0.3">
      <c r="A7">
        <v>320006</v>
      </c>
      <c r="B7" t="s">
        <v>8</v>
      </c>
      <c r="C7">
        <v>8</v>
      </c>
      <c r="D7" s="9">
        <v>4</v>
      </c>
      <c r="E7" s="9">
        <v>1</v>
      </c>
      <c r="F7" s="9"/>
      <c r="G7" s="2">
        <f>Tabla1[[#This Row],[ALMACEN]]+Tabla1[[#This Row],[SHOWROOM]]+Tabla1[[#This Row],[SEPARADO]]</f>
        <v>5</v>
      </c>
      <c r="H7" s="1">
        <f>VLOOKUP(Tabla1[[#This Row],[Código]], [2]!Tabla1[#Data], 8,)</f>
        <v>80</v>
      </c>
      <c r="I7" s="1">
        <f>Tabla1[[#This Row],[Precio unitario]]*Tabla1[[#This Row],[Conteo total]]</f>
        <v>400</v>
      </c>
    </row>
    <row r="8" spans="1:11" hidden="1" x14ac:dyDescent="0.3">
      <c r="A8">
        <v>320007</v>
      </c>
      <c r="B8" t="s">
        <v>9</v>
      </c>
      <c r="C8">
        <v>67</v>
      </c>
      <c r="D8" s="9"/>
      <c r="E8" s="9"/>
      <c r="F8" s="9"/>
      <c r="G8" s="2">
        <f>Tabla1[[#This Row],[ALMACEN]]+Tabla1[[#This Row],[SHOWROOM]]+Tabla1[[#This Row],[SEPARADO]]</f>
        <v>0</v>
      </c>
      <c r="H8" s="1">
        <f>VLOOKUP(Tabla1[[#This Row],[Código]], [2]!Tabla1[#Data], 8,)</f>
        <v>8</v>
      </c>
      <c r="I8" s="1">
        <f>Tabla1[[#This Row],[Precio unitario]]*Tabla1[[#This Row],[Conteo total]]</f>
        <v>0</v>
      </c>
    </row>
    <row r="9" spans="1:11" hidden="1" x14ac:dyDescent="0.3">
      <c r="A9">
        <v>320008</v>
      </c>
      <c r="B9" t="s">
        <v>10</v>
      </c>
      <c r="C9">
        <v>34</v>
      </c>
      <c r="D9" s="9"/>
      <c r="E9" s="9"/>
      <c r="F9" s="9"/>
      <c r="G9" s="2">
        <f>Tabla1[[#This Row],[ALMACEN]]+Tabla1[[#This Row],[SHOWROOM]]+Tabla1[[#This Row],[SEPARADO]]</f>
        <v>0</v>
      </c>
      <c r="H9" s="1">
        <f>VLOOKUP(Tabla1[[#This Row],[Código]], [2]!Tabla1[#Data], 8,)</f>
        <v>3</v>
      </c>
      <c r="I9" s="1">
        <f>Tabla1[[#This Row],[Precio unitario]]*Tabla1[[#This Row],[Conteo total]]</f>
        <v>0</v>
      </c>
    </row>
    <row r="10" spans="1:11" x14ac:dyDescent="0.3">
      <c r="A10">
        <v>320009</v>
      </c>
      <c r="B10" t="s">
        <v>11</v>
      </c>
      <c r="C10">
        <v>10</v>
      </c>
      <c r="D10" s="9">
        <v>5</v>
      </c>
      <c r="E10" s="9">
        <v>4</v>
      </c>
      <c r="F10" s="9"/>
      <c r="G10" s="2">
        <f>Tabla1[[#This Row],[ALMACEN]]+Tabla1[[#This Row],[SHOWROOM]]+Tabla1[[#This Row],[SEPARADO]]</f>
        <v>9</v>
      </c>
      <c r="H10" s="1">
        <f>VLOOKUP(Tabla1[[#This Row],[Código]], [2]!Tabla1[#Data], 8,)</f>
        <v>13</v>
      </c>
      <c r="I10" s="1">
        <f>Tabla1[[#This Row],[Precio unitario]]*Tabla1[[#This Row],[Conteo total]]</f>
        <v>117</v>
      </c>
    </row>
    <row r="11" spans="1:11" x14ac:dyDescent="0.3">
      <c r="A11">
        <v>320010</v>
      </c>
      <c r="B11" t="s">
        <v>12</v>
      </c>
      <c r="C11">
        <v>32</v>
      </c>
      <c r="D11" s="9">
        <v>18</v>
      </c>
      <c r="E11" s="9">
        <v>1</v>
      </c>
      <c r="F11" s="9"/>
      <c r="G11" s="2">
        <f>Tabla1[[#This Row],[ALMACEN]]+Tabla1[[#This Row],[SHOWROOM]]+Tabla1[[#This Row],[SEPARADO]]</f>
        <v>19</v>
      </c>
      <c r="H11" s="1">
        <f>VLOOKUP(Tabla1[[#This Row],[Código]], [2]!Tabla1[#Data], 8,)</f>
        <v>8</v>
      </c>
      <c r="I11" s="1">
        <f>Tabla1[[#This Row],[Precio unitario]]*Tabla1[[#This Row],[Conteo total]]</f>
        <v>152</v>
      </c>
    </row>
    <row r="12" spans="1:11" x14ac:dyDescent="0.3">
      <c r="A12">
        <v>320011</v>
      </c>
      <c r="B12" t="s">
        <v>13</v>
      </c>
      <c r="C12">
        <v>13</v>
      </c>
      <c r="D12" s="9">
        <v>10</v>
      </c>
      <c r="E12" s="9">
        <v>3</v>
      </c>
      <c r="F12" s="9"/>
      <c r="G12" s="2">
        <f>Tabla1[[#This Row],[ALMACEN]]+Tabla1[[#This Row],[SHOWROOM]]+Tabla1[[#This Row],[SEPARADO]]</f>
        <v>13</v>
      </c>
      <c r="H12" s="1">
        <f>VLOOKUP(Tabla1[[#This Row],[Código]], [2]!Tabla1[#Data], 8,)</f>
        <v>8</v>
      </c>
      <c r="I12" s="1">
        <f>Tabla1[[#This Row],[Precio unitario]]*Tabla1[[#This Row],[Conteo total]]</f>
        <v>104</v>
      </c>
    </row>
    <row r="13" spans="1:11" x14ac:dyDescent="0.3">
      <c r="A13">
        <v>320012</v>
      </c>
      <c r="B13" t="s">
        <v>14</v>
      </c>
      <c r="C13">
        <v>37</v>
      </c>
      <c r="D13" s="9">
        <v>11</v>
      </c>
      <c r="E13" s="9">
        <v>3</v>
      </c>
      <c r="F13" s="9"/>
      <c r="G13" s="2">
        <f>Tabla1[[#This Row],[ALMACEN]]+Tabla1[[#This Row],[SHOWROOM]]+Tabla1[[#This Row],[SEPARADO]]</f>
        <v>14</v>
      </c>
      <c r="H13" s="1">
        <f>VLOOKUP(Tabla1[[#This Row],[Código]], [2]!Tabla1[#Data], 8,)</f>
        <v>9</v>
      </c>
      <c r="I13" s="1">
        <f>Tabla1[[#This Row],[Precio unitario]]*Tabla1[[#This Row],[Conteo total]]</f>
        <v>126</v>
      </c>
    </row>
    <row r="14" spans="1:11" hidden="1" x14ac:dyDescent="0.3">
      <c r="A14">
        <v>320013</v>
      </c>
      <c r="B14" t="s">
        <v>15</v>
      </c>
      <c r="C14">
        <v>8</v>
      </c>
      <c r="D14" s="9"/>
      <c r="E14" s="9"/>
      <c r="F14" s="9"/>
      <c r="G14" s="2">
        <f>Tabla1[[#This Row],[ALMACEN]]+Tabla1[[#This Row],[SHOWROOM]]+Tabla1[[#This Row],[SEPARADO]]</f>
        <v>0</v>
      </c>
      <c r="H14" s="1">
        <f>VLOOKUP(Tabla1[[#This Row],[Código]], [2]!Tabla1[#Data], 8,)</f>
        <v>8</v>
      </c>
      <c r="I14" s="1">
        <f>Tabla1[[#This Row],[Precio unitario]]*Tabla1[[#This Row],[Conteo total]]</f>
        <v>0</v>
      </c>
    </row>
    <row r="15" spans="1:11" x14ac:dyDescent="0.3">
      <c r="A15">
        <v>320014</v>
      </c>
      <c r="B15" t="s">
        <v>16</v>
      </c>
      <c r="C15">
        <v>19</v>
      </c>
      <c r="D15" s="9">
        <v>11</v>
      </c>
      <c r="E15" s="9">
        <v>5</v>
      </c>
      <c r="F15" s="9"/>
      <c r="G15" s="2">
        <f>Tabla1[[#This Row],[ALMACEN]]+Tabla1[[#This Row],[SHOWROOM]]+Tabla1[[#This Row],[SEPARADO]]</f>
        <v>16</v>
      </c>
      <c r="H15" s="1">
        <f>VLOOKUP(Tabla1[[#This Row],[Código]], [2]!Tabla1[#Data], 8,)</f>
        <v>8</v>
      </c>
      <c r="I15" s="1">
        <f>Tabla1[[#This Row],[Precio unitario]]*Tabla1[[#This Row],[Conteo total]]</f>
        <v>128</v>
      </c>
    </row>
    <row r="16" spans="1:11" hidden="1" x14ac:dyDescent="0.3">
      <c r="A16">
        <v>320015</v>
      </c>
      <c r="B16" t="s">
        <v>17</v>
      </c>
      <c r="C16">
        <v>15</v>
      </c>
      <c r="D16" s="9"/>
      <c r="E16" s="9"/>
      <c r="F16" s="9"/>
      <c r="G16" s="2">
        <f>Tabla1[[#This Row],[ALMACEN]]+Tabla1[[#This Row],[SHOWROOM]]+Tabla1[[#This Row],[SEPARADO]]</f>
        <v>0</v>
      </c>
      <c r="H16" s="1">
        <f>VLOOKUP(Tabla1[[#This Row],[Código]], [2]!Tabla1[#Data], 8,)</f>
        <v>5</v>
      </c>
      <c r="I16" s="1">
        <f>Tabla1[[#This Row],[Precio unitario]]*Tabla1[[#This Row],[Conteo total]]</f>
        <v>0</v>
      </c>
    </row>
    <row r="17" spans="1:9" x14ac:dyDescent="0.3">
      <c r="A17">
        <v>320016</v>
      </c>
      <c r="B17" t="s">
        <v>18</v>
      </c>
      <c r="C17">
        <v>13</v>
      </c>
      <c r="D17" s="9">
        <v>11</v>
      </c>
      <c r="E17" s="9">
        <v>2</v>
      </c>
      <c r="F17" s="9"/>
      <c r="G17" s="2">
        <f>Tabla1[[#This Row],[ALMACEN]]+Tabla1[[#This Row],[SHOWROOM]]+Tabla1[[#This Row],[SEPARADO]]</f>
        <v>13</v>
      </c>
      <c r="H17" s="1">
        <f>VLOOKUP(Tabla1[[#This Row],[Código]], [2]!Tabla1[#Data], 8,)</f>
        <v>77</v>
      </c>
      <c r="I17" s="1">
        <f>Tabla1[[#This Row],[Precio unitario]]*Tabla1[[#This Row],[Conteo total]]</f>
        <v>1001</v>
      </c>
    </row>
    <row r="18" spans="1:9" hidden="1" x14ac:dyDescent="0.3">
      <c r="A18">
        <v>320017</v>
      </c>
      <c r="B18" t="s">
        <v>19</v>
      </c>
      <c r="C18">
        <v>12</v>
      </c>
      <c r="D18" s="9"/>
      <c r="E18" s="9"/>
      <c r="F18" s="9"/>
      <c r="G18" s="2">
        <f>Tabla1[[#This Row],[ALMACEN]]+Tabla1[[#This Row],[SHOWROOM]]+Tabla1[[#This Row],[SEPARADO]]</f>
        <v>0</v>
      </c>
      <c r="H18" s="1">
        <f>VLOOKUP(Tabla1[[#This Row],[Código]], [2]!Tabla1[#Data], 8,)</f>
        <v>15</v>
      </c>
      <c r="I18" s="1">
        <f>Tabla1[[#This Row],[Precio unitario]]*Tabla1[[#This Row],[Conteo total]]</f>
        <v>0</v>
      </c>
    </row>
    <row r="19" spans="1:9" x14ac:dyDescent="0.3">
      <c r="A19">
        <v>320018</v>
      </c>
      <c r="B19" t="s">
        <v>20</v>
      </c>
      <c r="C19">
        <v>29</v>
      </c>
      <c r="D19" s="9">
        <v>4</v>
      </c>
      <c r="E19" s="9">
        <v>1</v>
      </c>
      <c r="F19" s="9">
        <v>1</v>
      </c>
      <c r="G19" s="2">
        <f>Tabla1[[#This Row],[ALMACEN]]+Tabla1[[#This Row],[SHOWROOM]]+Tabla1[[#This Row],[SEPARADO]]</f>
        <v>6</v>
      </c>
      <c r="H19" s="1">
        <f>VLOOKUP(Tabla1[[#This Row],[Código]], [2]!Tabla1[#Data], 8,)</f>
        <v>9</v>
      </c>
      <c r="I19" s="1">
        <f>Tabla1[[#This Row],[Precio unitario]]*Tabla1[[#This Row],[Conteo total]]</f>
        <v>54</v>
      </c>
    </row>
    <row r="20" spans="1:9" hidden="1" x14ac:dyDescent="0.3">
      <c r="A20">
        <v>320019</v>
      </c>
      <c r="B20" t="s">
        <v>21</v>
      </c>
      <c r="C20">
        <v>12</v>
      </c>
      <c r="D20" s="9"/>
      <c r="E20" s="9"/>
      <c r="F20" s="9"/>
      <c r="G20" s="2">
        <f>Tabla1[[#This Row],[ALMACEN]]+Tabla1[[#This Row],[SHOWROOM]]+Tabla1[[#This Row],[SEPARADO]]</f>
        <v>0</v>
      </c>
      <c r="H20" s="1">
        <f>VLOOKUP(Tabla1[[#This Row],[Código]], [2]!Tabla1[#Data], 8,)</f>
        <v>6</v>
      </c>
      <c r="I20" s="1">
        <f>Tabla1[[#This Row],[Precio unitario]]*Tabla1[[#This Row],[Conteo total]]</f>
        <v>0</v>
      </c>
    </row>
    <row r="21" spans="1:9" hidden="1" x14ac:dyDescent="0.3">
      <c r="A21">
        <v>320020</v>
      </c>
      <c r="B21" t="s">
        <v>22</v>
      </c>
      <c r="C21">
        <v>8</v>
      </c>
      <c r="D21" s="9"/>
      <c r="E21" s="9"/>
      <c r="F21" s="9"/>
      <c r="G21" s="2">
        <f>Tabla1[[#This Row],[ALMACEN]]+Tabla1[[#This Row],[SHOWROOM]]+Tabla1[[#This Row],[SEPARADO]]</f>
        <v>0</v>
      </c>
      <c r="H21" s="1">
        <f>VLOOKUP(Tabla1[[#This Row],[Código]], [2]!Tabla1[#Data], 8,)</f>
        <v>6</v>
      </c>
      <c r="I21" s="1">
        <f>Tabla1[[#This Row],[Precio unitario]]*Tabla1[[#This Row],[Conteo total]]</f>
        <v>0</v>
      </c>
    </row>
    <row r="22" spans="1:9" x14ac:dyDescent="0.3">
      <c r="A22">
        <v>320021</v>
      </c>
      <c r="B22" t="s">
        <v>23</v>
      </c>
      <c r="C22">
        <v>19</v>
      </c>
      <c r="D22" s="9">
        <v>3</v>
      </c>
      <c r="E22" s="9"/>
      <c r="F22" s="9"/>
      <c r="G22" s="2">
        <f>Tabla1[[#This Row],[ALMACEN]]+Tabla1[[#This Row],[SHOWROOM]]+Tabla1[[#This Row],[SEPARADO]]</f>
        <v>3</v>
      </c>
      <c r="H22" s="1">
        <f>VLOOKUP(Tabla1[[#This Row],[Código]], [2]!Tabla1[#Data], 8,)</f>
        <v>6</v>
      </c>
      <c r="I22" s="1">
        <f>Tabla1[[#This Row],[Precio unitario]]*Tabla1[[#This Row],[Conteo total]]</f>
        <v>18</v>
      </c>
    </row>
    <row r="23" spans="1:9" hidden="1" x14ac:dyDescent="0.3">
      <c r="A23">
        <v>320022</v>
      </c>
      <c r="B23" t="s">
        <v>24</v>
      </c>
      <c r="C23">
        <v>2</v>
      </c>
      <c r="D23" s="9"/>
      <c r="E23" s="9"/>
      <c r="F23" s="9"/>
      <c r="G23" s="2">
        <f>Tabla1[[#This Row],[ALMACEN]]+Tabla1[[#This Row],[SHOWROOM]]+Tabla1[[#This Row],[SEPARADO]]</f>
        <v>0</v>
      </c>
      <c r="H23" s="1">
        <f>VLOOKUP(Tabla1[[#This Row],[Código]], [2]!Tabla1[#Data], 8,)</f>
        <v>6</v>
      </c>
      <c r="I23" s="1">
        <f>Tabla1[[#This Row],[Precio unitario]]*Tabla1[[#This Row],[Conteo total]]</f>
        <v>0</v>
      </c>
    </row>
    <row r="24" spans="1:9" x14ac:dyDescent="0.3">
      <c r="A24">
        <v>320023</v>
      </c>
      <c r="B24" t="s">
        <v>25</v>
      </c>
      <c r="C24">
        <v>17</v>
      </c>
      <c r="D24" s="9">
        <v>2</v>
      </c>
      <c r="E24" s="9">
        <v>2</v>
      </c>
      <c r="F24" s="9"/>
      <c r="G24" s="2">
        <f>Tabla1[[#This Row],[ALMACEN]]+Tabla1[[#This Row],[SHOWROOM]]+Tabla1[[#This Row],[SEPARADO]]</f>
        <v>4</v>
      </c>
      <c r="H24" s="1">
        <f>VLOOKUP(Tabla1[[#This Row],[Código]], [2]!Tabla1[#Data], 8,)</f>
        <v>6</v>
      </c>
      <c r="I24" s="1">
        <f>Tabla1[[#This Row],[Precio unitario]]*Tabla1[[#This Row],[Conteo total]]</f>
        <v>24</v>
      </c>
    </row>
    <row r="25" spans="1:9" x14ac:dyDescent="0.3">
      <c r="A25">
        <v>320024</v>
      </c>
      <c r="B25" t="s">
        <v>26</v>
      </c>
      <c r="C25">
        <v>27</v>
      </c>
      <c r="D25" s="9"/>
      <c r="E25" s="9">
        <v>1</v>
      </c>
      <c r="F25" s="9"/>
      <c r="G25" s="2">
        <f>Tabla1[[#This Row],[ALMACEN]]+Tabla1[[#This Row],[SHOWROOM]]+Tabla1[[#This Row],[SEPARADO]]</f>
        <v>1</v>
      </c>
      <c r="H25" s="1">
        <f>VLOOKUP(Tabla1[[#This Row],[Código]], [2]!Tabla1[#Data], 8,)</f>
        <v>6</v>
      </c>
      <c r="I25" s="1">
        <f>Tabla1[[#This Row],[Precio unitario]]*Tabla1[[#This Row],[Conteo total]]</f>
        <v>6</v>
      </c>
    </row>
    <row r="26" spans="1:9" x14ac:dyDescent="0.3">
      <c r="A26">
        <v>320025</v>
      </c>
      <c r="B26" t="s">
        <v>27</v>
      </c>
      <c r="C26">
        <v>13</v>
      </c>
      <c r="D26" s="9">
        <v>9</v>
      </c>
      <c r="E26" s="9">
        <v>1</v>
      </c>
      <c r="F26" s="9"/>
      <c r="G26" s="2">
        <f>Tabla1[[#This Row],[ALMACEN]]+Tabla1[[#This Row],[SHOWROOM]]+Tabla1[[#This Row],[SEPARADO]]</f>
        <v>10</v>
      </c>
      <c r="H26" s="1">
        <f>VLOOKUP(Tabla1[[#This Row],[Código]], [2]!Tabla1[#Data], 8,)</f>
        <v>68</v>
      </c>
      <c r="I26" s="1">
        <f>Tabla1[[#This Row],[Precio unitario]]*Tabla1[[#This Row],[Conteo total]]</f>
        <v>680</v>
      </c>
    </row>
    <row r="27" spans="1:9" x14ac:dyDescent="0.3">
      <c r="A27">
        <v>320026</v>
      </c>
      <c r="B27" t="s">
        <v>28</v>
      </c>
      <c r="C27">
        <v>34</v>
      </c>
      <c r="D27" s="9">
        <v>29</v>
      </c>
      <c r="E27" s="9"/>
      <c r="F27" s="9"/>
      <c r="G27" s="2">
        <f>Tabla1[[#This Row],[ALMACEN]]+Tabla1[[#This Row],[SHOWROOM]]+Tabla1[[#This Row],[SEPARADO]]</f>
        <v>29</v>
      </c>
      <c r="H27" s="1">
        <f>VLOOKUP(Tabla1[[#This Row],[Código]], [2]!Tabla1[#Data], 8,)</f>
        <v>45</v>
      </c>
      <c r="I27" s="1">
        <f>Tabla1[[#This Row],[Precio unitario]]*Tabla1[[#This Row],[Conteo total]]</f>
        <v>1305</v>
      </c>
    </row>
    <row r="28" spans="1:9" hidden="1" x14ac:dyDescent="0.3">
      <c r="A28">
        <v>320027</v>
      </c>
      <c r="B28" t="s">
        <v>29</v>
      </c>
      <c r="C28">
        <v>24</v>
      </c>
      <c r="D28" s="9"/>
      <c r="E28" s="9"/>
      <c r="F28" s="9"/>
      <c r="G28" s="2">
        <f>Tabla1[[#This Row],[ALMACEN]]+Tabla1[[#This Row],[SHOWROOM]]+Tabla1[[#This Row],[SEPARADO]]</f>
        <v>0</v>
      </c>
      <c r="H28" s="1">
        <f>VLOOKUP(Tabla1[[#This Row],[Código]], [2]!Tabla1[#Data], 8,)</f>
        <v>26</v>
      </c>
      <c r="I28" s="1">
        <f>Tabla1[[#This Row],[Precio unitario]]*Tabla1[[#This Row],[Conteo total]]</f>
        <v>0</v>
      </c>
    </row>
    <row r="29" spans="1:9" hidden="1" x14ac:dyDescent="0.3">
      <c r="A29">
        <v>320028</v>
      </c>
      <c r="B29" t="s">
        <v>30</v>
      </c>
      <c r="C29">
        <v>17</v>
      </c>
      <c r="D29" s="9"/>
      <c r="E29" s="9"/>
      <c r="F29" s="9"/>
      <c r="G29" s="2">
        <f>Tabla1[[#This Row],[ALMACEN]]+Tabla1[[#This Row],[SHOWROOM]]+Tabla1[[#This Row],[SEPARADO]]</f>
        <v>0</v>
      </c>
      <c r="H29" s="1">
        <f>VLOOKUP(Tabla1[[#This Row],[Código]], [2]!Tabla1[#Data], 8,)</f>
        <v>33</v>
      </c>
      <c r="I29" s="1">
        <f>Tabla1[[#This Row],[Precio unitario]]*Tabla1[[#This Row],[Conteo total]]</f>
        <v>0</v>
      </c>
    </row>
    <row r="30" spans="1:9" hidden="1" x14ac:dyDescent="0.3">
      <c r="A30">
        <v>320029</v>
      </c>
      <c r="B30" t="s">
        <v>31</v>
      </c>
      <c r="C30">
        <v>8</v>
      </c>
      <c r="D30" s="9"/>
      <c r="E30" s="9"/>
      <c r="F30" s="9"/>
      <c r="G30" s="2">
        <f>Tabla1[[#This Row],[ALMACEN]]+Tabla1[[#This Row],[SHOWROOM]]+Tabla1[[#This Row],[SEPARADO]]</f>
        <v>0</v>
      </c>
      <c r="H30" s="1">
        <f>VLOOKUP(Tabla1[[#This Row],[Código]], [2]!Tabla1[#Data], 8,)</f>
        <v>18</v>
      </c>
      <c r="I30" s="1">
        <f>Tabla1[[#This Row],[Precio unitario]]*Tabla1[[#This Row],[Conteo total]]</f>
        <v>0</v>
      </c>
    </row>
    <row r="31" spans="1:9" x14ac:dyDescent="0.3">
      <c r="A31">
        <v>320030</v>
      </c>
      <c r="B31" t="s">
        <v>32</v>
      </c>
      <c r="C31">
        <v>15</v>
      </c>
      <c r="D31" s="9">
        <v>10</v>
      </c>
      <c r="E31" s="9">
        <v>1</v>
      </c>
      <c r="F31" s="9"/>
      <c r="G31" s="2">
        <f>Tabla1[[#This Row],[ALMACEN]]+Tabla1[[#This Row],[SHOWROOM]]+Tabla1[[#This Row],[SEPARADO]]</f>
        <v>11</v>
      </c>
      <c r="H31" s="1">
        <f>VLOOKUP(Tabla1[[#This Row],[Código]], [2]!Tabla1[#Data], 8,)</f>
        <v>87</v>
      </c>
      <c r="I31" s="1">
        <f>Tabla1[[#This Row],[Precio unitario]]*Tabla1[[#This Row],[Conteo total]]</f>
        <v>957</v>
      </c>
    </row>
    <row r="32" spans="1:9" hidden="1" x14ac:dyDescent="0.3">
      <c r="A32">
        <v>320031</v>
      </c>
      <c r="B32" t="s">
        <v>33</v>
      </c>
      <c r="C32">
        <v>24</v>
      </c>
      <c r="D32" s="9"/>
      <c r="E32" s="9"/>
      <c r="F32" s="9"/>
      <c r="G32" s="2">
        <f>Tabla1[[#This Row],[ALMACEN]]+Tabla1[[#This Row],[SHOWROOM]]+Tabla1[[#This Row],[SEPARADO]]</f>
        <v>0</v>
      </c>
      <c r="H32" s="1">
        <f>VLOOKUP(Tabla1[[#This Row],[Código]], [2]!Tabla1[#Data], 8,)</f>
        <v>33</v>
      </c>
      <c r="I32" s="1">
        <f>Tabla1[[#This Row],[Precio unitario]]*Tabla1[[#This Row],[Conteo total]]</f>
        <v>0</v>
      </c>
    </row>
    <row r="33" spans="1:9" hidden="1" x14ac:dyDescent="0.3">
      <c r="A33">
        <v>320032</v>
      </c>
      <c r="B33" t="s">
        <v>34</v>
      </c>
      <c r="C33">
        <v>2</v>
      </c>
      <c r="D33" s="9"/>
      <c r="E33" s="9"/>
      <c r="F33" s="9"/>
      <c r="G33" s="2">
        <f>Tabla1[[#This Row],[ALMACEN]]+Tabla1[[#This Row],[SHOWROOM]]+Tabla1[[#This Row],[SEPARADO]]</f>
        <v>0</v>
      </c>
      <c r="H33" s="1">
        <f>VLOOKUP(Tabla1[[#This Row],[Código]], [2]!Tabla1[#Data], 8,)</f>
        <v>5</v>
      </c>
      <c r="I33" s="1">
        <f>Tabla1[[#This Row],[Precio unitario]]*Tabla1[[#This Row],[Conteo total]]</f>
        <v>0</v>
      </c>
    </row>
    <row r="34" spans="1:9" x14ac:dyDescent="0.3">
      <c r="A34">
        <v>320033</v>
      </c>
      <c r="B34" t="s">
        <v>35</v>
      </c>
      <c r="C34">
        <v>5</v>
      </c>
      <c r="D34" s="9">
        <v>3</v>
      </c>
      <c r="E34" s="9">
        <v>1</v>
      </c>
      <c r="F34" s="9"/>
      <c r="G34" s="2">
        <f>Tabla1[[#This Row],[ALMACEN]]+Tabla1[[#This Row],[SHOWROOM]]+Tabla1[[#This Row],[SEPARADO]]</f>
        <v>4</v>
      </c>
      <c r="H34" s="1">
        <f>VLOOKUP(Tabla1[[#This Row],[Código]], [2]!Tabla1[#Data], 8,)</f>
        <v>33</v>
      </c>
      <c r="I34" s="1">
        <f>Tabla1[[#This Row],[Precio unitario]]*Tabla1[[#This Row],[Conteo total]]</f>
        <v>132</v>
      </c>
    </row>
    <row r="35" spans="1:9" x14ac:dyDescent="0.3">
      <c r="A35">
        <v>320034</v>
      </c>
      <c r="B35" t="s">
        <v>36</v>
      </c>
      <c r="C35">
        <v>27</v>
      </c>
      <c r="D35" s="9"/>
      <c r="E35" s="9">
        <v>8</v>
      </c>
      <c r="F35" s="9"/>
      <c r="G35" s="2">
        <f>Tabla1[[#This Row],[ALMACEN]]+Tabla1[[#This Row],[SHOWROOM]]+Tabla1[[#This Row],[SEPARADO]]</f>
        <v>8</v>
      </c>
      <c r="H35" s="1">
        <f>VLOOKUP(Tabla1[[#This Row],[Código]], [2]!Tabla1[#Data], 8,)</f>
        <v>6</v>
      </c>
      <c r="I35" s="1">
        <f>Tabla1[[#This Row],[Precio unitario]]*Tabla1[[#This Row],[Conteo total]]</f>
        <v>48</v>
      </c>
    </row>
    <row r="36" spans="1:9" hidden="1" x14ac:dyDescent="0.3">
      <c r="A36">
        <v>320035</v>
      </c>
      <c r="B36" t="s">
        <v>37</v>
      </c>
      <c r="C36">
        <v>12</v>
      </c>
      <c r="D36" s="9"/>
      <c r="E36" s="9"/>
      <c r="F36" s="9"/>
      <c r="G36" s="2">
        <f>Tabla1[[#This Row],[ALMACEN]]+Tabla1[[#This Row],[SHOWROOM]]+Tabla1[[#This Row],[SEPARADO]]</f>
        <v>0</v>
      </c>
      <c r="H36" s="1">
        <f>VLOOKUP(Tabla1[[#This Row],[Código]], [2]!Tabla1[#Data], 8,)</f>
        <v>9</v>
      </c>
      <c r="I36" s="1">
        <f>Tabla1[[#This Row],[Precio unitario]]*Tabla1[[#This Row],[Conteo total]]</f>
        <v>0</v>
      </c>
    </row>
    <row r="37" spans="1:9" x14ac:dyDescent="0.3">
      <c r="A37">
        <v>320036</v>
      </c>
      <c r="B37" t="s">
        <v>38</v>
      </c>
      <c r="C37">
        <v>18</v>
      </c>
      <c r="D37" s="9"/>
      <c r="E37" s="9">
        <v>5</v>
      </c>
      <c r="F37" s="9"/>
      <c r="G37" s="2">
        <f>Tabla1[[#This Row],[ALMACEN]]+Tabla1[[#This Row],[SHOWROOM]]+Tabla1[[#This Row],[SEPARADO]]</f>
        <v>5</v>
      </c>
      <c r="H37" s="1">
        <f>VLOOKUP(Tabla1[[#This Row],[Código]], [2]!Tabla1[#Data], 8,)</f>
        <v>9</v>
      </c>
      <c r="I37" s="1">
        <f>Tabla1[[#This Row],[Precio unitario]]*Tabla1[[#This Row],[Conteo total]]</f>
        <v>45</v>
      </c>
    </row>
    <row r="38" spans="1:9" hidden="1" x14ac:dyDescent="0.3">
      <c r="A38">
        <v>320037</v>
      </c>
      <c r="B38" t="s">
        <v>39</v>
      </c>
      <c r="C38">
        <v>21</v>
      </c>
      <c r="D38" s="9"/>
      <c r="E38" s="9"/>
      <c r="F38" s="9"/>
      <c r="G38" s="2">
        <f>Tabla1[[#This Row],[ALMACEN]]+Tabla1[[#This Row],[SHOWROOM]]+Tabla1[[#This Row],[SEPARADO]]</f>
        <v>0</v>
      </c>
      <c r="H38" s="1">
        <f>VLOOKUP(Tabla1[[#This Row],[Código]], [2]!Tabla1[#Data], 8,)</f>
        <v>19</v>
      </c>
      <c r="I38" s="1">
        <f>Tabla1[[#This Row],[Precio unitario]]*Tabla1[[#This Row],[Conteo total]]</f>
        <v>0</v>
      </c>
    </row>
    <row r="39" spans="1:9" hidden="1" x14ac:dyDescent="0.3">
      <c r="A39">
        <v>320038</v>
      </c>
      <c r="B39" t="s">
        <v>40</v>
      </c>
      <c r="C39">
        <v>11</v>
      </c>
      <c r="D39" s="9"/>
      <c r="E39" s="9"/>
      <c r="F39" s="9"/>
      <c r="G39" s="2">
        <f>Tabla1[[#This Row],[ALMACEN]]+Tabla1[[#This Row],[SHOWROOM]]+Tabla1[[#This Row],[SEPARADO]]</f>
        <v>0</v>
      </c>
      <c r="H39" s="1">
        <f>VLOOKUP(Tabla1[[#This Row],[Código]], [2]!Tabla1[#Data], 8,)</f>
        <v>26</v>
      </c>
      <c r="I39" s="1">
        <f>Tabla1[[#This Row],[Precio unitario]]*Tabla1[[#This Row],[Conteo total]]</f>
        <v>0</v>
      </c>
    </row>
    <row r="40" spans="1:9" x14ac:dyDescent="0.3">
      <c r="A40">
        <v>320039</v>
      </c>
      <c r="B40" t="s">
        <v>41</v>
      </c>
      <c r="C40">
        <v>15</v>
      </c>
      <c r="D40" s="9">
        <v>13</v>
      </c>
      <c r="E40" s="9">
        <v>2</v>
      </c>
      <c r="F40" s="9"/>
      <c r="G40" s="2">
        <f>Tabla1[[#This Row],[ALMACEN]]+Tabla1[[#This Row],[SHOWROOM]]+Tabla1[[#This Row],[SEPARADO]]</f>
        <v>15</v>
      </c>
      <c r="H40" s="1">
        <f>VLOOKUP(Tabla1[[#This Row],[Código]], [2]!Tabla1[#Data], 8,)</f>
        <v>26</v>
      </c>
      <c r="I40" s="1">
        <f>Tabla1[[#This Row],[Precio unitario]]*Tabla1[[#This Row],[Conteo total]]</f>
        <v>390</v>
      </c>
    </row>
    <row r="41" spans="1:9" hidden="1" x14ac:dyDescent="0.3">
      <c r="A41">
        <v>320040</v>
      </c>
      <c r="B41" t="s">
        <v>42</v>
      </c>
      <c r="C41">
        <v>14</v>
      </c>
      <c r="D41" s="9"/>
      <c r="E41" s="9"/>
      <c r="F41" s="9"/>
      <c r="G41" s="2">
        <f>Tabla1[[#This Row],[ALMACEN]]+Tabla1[[#This Row],[SHOWROOM]]+Tabla1[[#This Row],[SEPARADO]]</f>
        <v>0</v>
      </c>
      <c r="H41" s="1">
        <f>VLOOKUP(Tabla1[[#This Row],[Código]], [2]!Tabla1[#Data], 8,)</f>
        <v>9</v>
      </c>
      <c r="I41" s="1">
        <f>Tabla1[[#This Row],[Precio unitario]]*Tabla1[[#This Row],[Conteo total]]</f>
        <v>0</v>
      </c>
    </row>
    <row r="42" spans="1:9" hidden="1" x14ac:dyDescent="0.3">
      <c r="A42">
        <v>320041</v>
      </c>
      <c r="B42" t="s">
        <v>43</v>
      </c>
      <c r="C42">
        <v>39</v>
      </c>
      <c r="D42" s="9"/>
      <c r="E42" s="9"/>
      <c r="F42" s="9"/>
      <c r="G42" s="2">
        <f>Tabla1[[#This Row],[ALMACEN]]+Tabla1[[#This Row],[SHOWROOM]]+Tabla1[[#This Row],[SEPARADO]]</f>
        <v>0</v>
      </c>
      <c r="H42" s="1">
        <f>VLOOKUP(Tabla1[[#This Row],[Código]], [2]!Tabla1[#Data], 8,)</f>
        <v>4</v>
      </c>
      <c r="I42" s="1">
        <f>Tabla1[[#This Row],[Precio unitario]]*Tabla1[[#This Row],[Conteo total]]</f>
        <v>0</v>
      </c>
    </row>
    <row r="43" spans="1:9" hidden="1" x14ac:dyDescent="0.3">
      <c r="A43">
        <v>320042</v>
      </c>
      <c r="B43" t="s">
        <v>44</v>
      </c>
      <c r="C43">
        <v>10</v>
      </c>
      <c r="D43" s="9"/>
      <c r="E43" s="9"/>
      <c r="F43" s="9"/>
      <c r="G43" s="2">
        <f>Tabla1[[#This Row],[ALMACEN]]+Tabla1[[#This Row],[SHOWROOM]]+Tabla1[[#This Row],[SEPARADO]]</f>
        <v>0</v>
      </c>
      <c r="H43" s="1">
        <f>VLOOKUP(Tabla1[[#This Row],[Código]], [2]!Tabla1[#Data], 8,)</f>
        <v>9</v>
      </c>
      <c r="I43" s="1">
        <f>Tabla1[[#This Row],[Precio unitario]]*Tabla1[[#This Row],[Conteo total]]</f>
        <v>0</v>
      </c>
    </row>
    <row r="44" spans="1:9" hidden="1" x14ac:dyDescent="0.3">
      <c r="A44">
        <v>320043</v>
      </c>
      <c r="B44" t="s">
        <v>45</v>
      </c>
      <c r="C44">
        <v>12</v>
      </c>
      <c r="D44" s="9"/>
      <c r="E44" s="9"/>
      <c r="F44" s="9"/>
      <c r="G44" s="2">
        <f>Tabla1[[#This Row],[ALMACEN]]+Tabla1[[#This Row],[SHOWROOM]]+Tabla1[[#This Row],[SEPARADO]]</f>
        <v>0</v>
      </c>
      <c r="H44" s="1">
        <f>VLOOKUP(Tabla1[[#This Row],[Código]], [2]!Tabla1[#Data], 8,)</f>
        <v>8</v>
      </c>
      <c r="I44" s="1">
        <f>Tabla1[[#This Row],[Precio unitario]]*Tabla1[[#This Row],[Conteo total]]</f>
        <v>0</v>
      </c>
    </row>
    <row r="45" spans="1:9" x14ac:dyDescent="0.3">
      <c r="A45">
        <v>320045</v>
      </c>
      <c r="B45" t="s">
        <v>46</v>
      </c>
      <c r="C45">
        <v>21</v>
      </c>
      <c r="D45" s="9">
        <v>3</v>
      </c>
      <c r="E45" s="9">
        <v>3</v>
      </c>
      <c r="F45" s="9"/>
      <c r="G45" s="2">
        <f>Tabla1[[#This Row],[ALMACEN]]+Tabla1[[#This Row],[SHOWROOM]]+Tabla1[[#This Row],[SEPARADO]]</f>
        <v>6</v>
      </c>
      <c r="H45" s="1">
        <f>VLOOKUP(Tabla1[[#This Row],[Código]], [2]!Tabla1[#Data], 8,)</f>
        <v>7</v>
      </c>
      <c r="I45" s="1">
        <f>Tabla1[[#This Row],[Precio unitario]]*Tabla1[[#This Row],[Conteo total]]</f>
        <v>42</v>
      </c>
    </row>
    <row r="46" spans="1:9" x14ac:dyDescent="0.3">
      <c r="A46">
        <v>320046</v>
      </c>
      <c r="B46" t="s">
        <v>47</v>
      </c>
      <c r="C46">
        <v>29</v>
      </c>
      <c r="D46" s="9">
        <v>8</v>
      </c>
      <c r="E46" s="9">
        <v>6</v>
      </c>
      <c r="F46" s="9"/>
      <c r="G46" s="2">
        <f>Tabla1[[#This Row],[ALMACEN]]+Tabla1[[#This Row],[SHOWROOM]]+Tabla1[[#This Row],[SEPARADO]]</f>
        <v>14</v>
      </c>
      <c r="H46" s="1">
        <f>VLOOKUP(Tabla1[[#This Row],[Código]], [2]!Tabla1[#Data], 8,)</f>
        <v>7</v>
      </c>
      <c r="I46" s="1">
        <f>Tabla1[[#This Row],[Precio unitario]]*Tabla1[[#This Row],[Conteo total]]</f>
        <v>98</v>
      </c>
    </row>
    <row r="47" spans="1:9" hidden="1" x14ac:dyDescent="0.3">
      <c r="A47">
        <v>320047</v>
      </c>
      <c r="B47" t="s">
        <v>48</v>
      </c>
      <c r="C47">
        <v>5</v>
      </c>
      <c r="D47" s="9"/>
      <c r="E47" s="9"/>
      <c r="F47" s="9"/>
      <c r="G47" s="2">
        <f>Tabla1[[#This Row],[ALMACEN]]+Tabla1[[#This Row],[SHOWROOM]]+Tabla1[[#This Row],[SEPARADO]]</f>
        <v>0</v>
      </c>
      <c r="H47" s="1">
        <f>VLOOKUP(Tabla1[[#This Row],[Código]], [2]!Tabla1[#Data], 8,)</f>
        <v>5</v>
      </c>
      <c r="I47" s="1">
        <f>Tabla1[[#This Row],[Precio unitario]]*Tabla1[[#This Row],[Conteo total]]</f>
        <v>0</v>
      </c>
    </row>
    <row r="48" spans="1:9" x14ac:dyDescent="0.3">
      <c r="A48">
        <v>320048</v>
      </c>
      <c r="B48" t="s">
        <v>49</v>
      </c>
      <c r="C48">
        <v>53</v>
      </c>
      <c r="D48" s="9">
        <v>16</v>
      </c>
      <c r="E48" s="9"/>
      <c r="F48" s="9">
        <v>1</v>
      </c>
      <c r="G48" s="2">
        <f>Tabla1[[#This Row],[ALMACEN]]+Tabla1[[#This Row],[SHOWROOM]]+Tabla1[[#This Row],[SEPARADO]]</f>
        <v>17</v>
      </c>
      <c r="H48" s="1">
        <f>VLOOKUP(Tabla1[[#This Row],[Código]], [2]!Tabla1[#Data], 8,)</f>
        <v>26</v>
      </c>
      <c r="I48" s="1">
        <f>Tabla1[[#This Row],[Precio unitario]]*Tabla1[[#This Row],[Conteo total]]</f>
        <v>442</v>
      </c>
    </row>
    <row r="49" spans="1:9" x14ac:dyDescent="0.3">
      <c r="A49">
        <v>320049</v>
      </c>
      <c r="B49" t="s">
        <v>50</v>
      </c>
      <c r="C49">
        <v>69</v>
      </c>
      <c r="D49" s="9">
        <v>26</v>
      </c>
      <c r="E49" s="9"/>
      <c r="F49" s="9">
        <v>1</v>
      </c>
      <c r="G49" s="2">
        <f>Tabla1[[#This Row],[ALMACEN]]+Tabla1[[#This Row],[SHOWROOM]]+Tabla1[[#This Row],[SEPARADO]]</f>
        <v>27</v>
      </c>
      <c r="H49" s="1">
        <f>VLOOKUP(Tabla1[[#This Row],[Código]], [2]!Tabla1[#Data], 8,)</f>
        <v>26</v>
      </c>
      <c r="I49" s="1">
        <f>Tabla1[[#This Row],[Precio unitario]]*Tabla1[[#This Row],[Conteo total]]</f>
        <v>702</v>
      </c>
    </row>
    <row r="50" spans="1:9" hidden="1" x14ac:dyDescent="0.3">
      <c r="A50">
        <v>320050</v>
      </c>
      <c r="B50" t="s">
        <v>51</v>
      </c>
      <c r="C50">
        <v>138</v>
      </c>
      <c r="D50" s="9"/>
      <c r="E50" s="9"/>
      <c r="F50" s="9"/>
      <c r="G50" s="2">
        <f>Tabla1[[#This Row],[ALMACEN]]+Tabla1[[#This Row],[SHOWROOM]]+Tabla1[[#This Row],[SEPARADO]]</f>
        <v>0</v>
      </c>
      <c r="H50" s="1">
        <f>VLOOKUP(Tabla1[[#This Row],[Código]], [2]!Tabla1[#Data], 8,)</f>
        <v>8</v>
      </c>
      <c r="I50" s="1">
        <f>Tabla1[[#This Row],[Precio unitario]]*Tabla1[[#This Row],[Conteo total]]</f>
        <v>0</v>
      </c>
    </row>
    <row r="51" spans="1:9" x14ac:dyDescent="0.3">
      <c r="A51">
        <v>320051</v>
      </c>
      <c r="B51" t="s">
        <v>52</v>
      </c>
      <c r="C51">
        <v>15</v>
      </c>
      <c r="D51" s="9"/>
      <c r="E51" s="9">
        <v>2</v>
      </c>
      <c r="F51" s="9"/>
      <c r="G51" s="2">
        <f>Tabla1[[#This Row],[ALMACEN]]+Tabla1[[#This Row],[SHOWROOM]]+Tabla1[[#This Row],[SEPARADO]]</f>
        <v>2</v>
      </c>
      <c r="H51" s="1">
        <f>VLOOKUP(Tabla1[[#This Row],[Código]], [2]!Tabla1[#Data], 8,)</f>
        <v>19</v>
      </c>
      <c r="I51" s="1">
        <f>Tabla1[[#This Row],[Precio unitario]]*Tabla1[[#This Row],[Conteo total]]</f>
        <v>38</v>
      </c>
    </row>
    <row r="52" spans="1:9" hidden="1" x14ac:dyDescent="0.3">
      <c r="A52">
        <v>320052</v>
      </c>
      <c r="B52" t="s">
        <v>53</v>
      </c>
      <c r="C52">
        <v>6</v>
      </c>
      <c r="D52" s="9"/>
      <c r="E52" s="9"/>
      <c r="F52" s="9"/>
      <c r="G52" s="2">
        <f>Tabla1[[#This Row],[ALMACEN]]+Tabla1[[#This Row],[SHOWROOM]]+Tabla1[[#This Row],[SEPARADO]]</f>
        <v>0</v>
      </c>
      <c r="H52" s="1">
        <f>VLOOKUP(Tabla1[[#This Row],[Código]], [2]!Tabla1[#Data], 8,)</f>
        <v>9</v>
      </c>
      <c r="I52" s="1">
        <f>Tabla1[[#This Row],[Precio unitario]]*Tabla1[[#This Row],[Conteo total]]</f>
        <v>0</v>
      </c>
    </row>
    <row r="53" spans="1:9" hidden="1" x14ac:dyDescent="0.3">
      <c r="A53">
        <v>320053</v>
      </c>
      <c r="B53" t="s">
        <v>54</v>
      </c>
      <c r="C53">
        <v>3</v>
      </c>
      <c r="D53" s="9"/>
      <c r="E53" s="9"/>
      <c r="F53" s="9"/>
      <c r="G53" s="2">
        <f>Tabla1[[#This Row],[ALMACEN]]+Tabla1[[#This Row],[SHOWROOM]]+Tabla1[[#This Row],[SEPARADO]]</f>
        <v>0</v>
      </c>
      <c r="H53" s="1">
        <f>VLOOKUP(Tabla1[[#This Row],[Código]], [2]!Tabla1[#Data], 8,)</f>
        <v>7</v>
      </c>
      <c r="I53" s="1">
        <f>Tabla1[[#This Row],[Precio unitario]]*Tabla1[[#This Row],[Conteo total]]</f>
        <v>0</v>
      </c>
    </row>
    <row r="54" spans="1:9" x14ac:dyDescent="0.3">
      <c r="A54">
        <v>320054</v>
      </c>
      <c r="B54" t="s">
        <v>55</v>
      </c>
      <c r="C54">
        <v>15</v>
      </c>
      <c r="D54" s="9">
        <v>7</v>
      </c>
      <c r="E54" s="9">
        <v>2</v>
      </c>
      <c r="F54" s="9">
        <v>1</v>
      </c>
      <c r="G54" s="2">
        <f>Tabla1[[#This Row],[ALMACEN]]+Tabla1[[#This Row],[SHOWROOM]]+Tabla1[[#This Row],[SEPARADO]]</f>
        <v>10</v>
      </c>
      <c r="H54" s="1">
        <f>VLOOKUP(Tabla1[[#This Row],[Código]], [2]!Tabla1[#Data], 8,)</f>
        <v>10</v>
      </c>
      <c r="I54" s="1">
        <f>Tabla1[[#This Row],[Precio unitario]]*Tabla1[[#This Row],[Conteo total]]</f>
        <v>100</v>
      </c>
    </row>
    <row r="55" spans="1:9" x14ac:dyDescent="0.3">
      <c r="A55">
        <v>320055</v>
      </c>
      <c r="B55" t="s">
        <v>56</v>
      </c>
      <c r="C55">
        <v>38</v>
      </c>
      <c r="D55" s="9">
        <v>34</v>
      </c>
      <c r="E55" s="9">
        <v>2</v>
      </c>
      <c r="F55" s="9">
        <v>1</v>
      </c>
      <c r="G55" s="2">
        <f>Tabla1[[#This Row],[ALMACEN]]+Tabla1[[#This Row],[SHOWROOM]]+Tabla1[[#This Row],[SEPARADO]]</f>
        <v>37</v>
      </c>
      <c r="H55" s="1">
        <f>VLOOKUP(Tabla1[[#This Row],[Código]], [2]!Tabla1[#Data], 8,)</f>
        <v>10</v>
      </c>
      <c r="I55" s="1">
        <f>Tabla1[[#This Row],[Precio unitario]]*Tabla1[[#This Row],[Conteo total]]</f>
        <v>370</v>
      </c>
    </row>
    <row r="56" spans="1:9" x14ac:dyDescent="0.3">
      <c r="A56">
        <v>320056</v>
      </c>
      <c r="B56" t="s">
        <v>57</v>
      </c>
      <c r="C56">
        <v>11</v>
      </c>
      <c r="D56" s="9">
        <v>6</v>
      </c>
      <c r="E56" s="9">
        <v>1</v>
      </c>
      <c r="F56" s="9">
        <v>1</v>
      </c>
      <c r="G56" s="2">
        <f>Tabla1[[#This Row],[ALMACEN]]+Tabla1[[#This Row],[SHOWROOM]]+Tabla1[[#This Row],[SEPARADO]]</f>
        <v>8</v>
      </c>
      <c r="H56" s="1">
        <f>VLOOKUP(Tabla1[[#This Row],[Código]], [2]!Tabla1[#Data], 8,)</f>
        <v>10</v>
      </c>
      <c r="I56" s="1">
        <f>Tabla1[[#This Row],[Precio unitario]]*Tabla1[[#This Row],[Conteo total]]</f>
        <v>80</v>
      </c>
    </row>
    <row r="57" spans="1:9" hidden="1" x14ac:dyDescent="0.3">
      <c r="A57">
        <v>320057</v>
      </c>
      <c r="B57" t="s">
        <v>58</v>
      </c>
      <c r="C57">
        <v>5</v>
      </c>
      <c r="D57" s="9"/>
      <c r="E57" s="9"/>
      <c r="F57" s="9"/>
      <c r="G57" s="2">
        <f>Tabla1[[#This Row],[ALMACEN]]+Tabla1[[#This Row],[SHOWROOM]]+Tabla1[[#This Row],[SEPARADO]]</f>
        <v>0</v>
      </c>
      <c r="H57" s="1">
        <f>VLOOKUP(Tabla1[[#This Row],[Código]], [2]!Tabla1[#Data], 8,)</f>
        <v>26</v>
      </c>
      <c r="I57" s="1">
        <f>Tabla1[[#This Row],[Precio unitario]]*Tabla1[[#This Row],[Conteo total]]</f>
        <v>0</v>
      </c>
    </row>
    <row r="58" spans="1:9" x14ac:dyDescent="0.3">
      <c r="A58">
        <v>320058</v>
      </c>
      <c r="B58" t="s">
        <v>59</v>
      </c>
      <c r="C58">
        <v>10</v>
      </c>
      <c r="D58" s="9"/>
      <c r="E58" s="9">
        <v>5</v>
      </c>
      <c r="F58" s="9"/>
      <c r="G58" s="2">
        <f>Tabla1[[#This Row],[ALMACEN]]+Tabla1[[#This Row],[SHOWROOM]]+Tabla1[[#This Row],[SEPARADO]]</f>
        <v>5</v>
      </c>
      <c r="H58" s="1">
        <f>VLOOKUP(Tabla1[[#This Row],[Código]], [2]!Tabla1[#Data], 8,)</f>
        <v>6</v>
      </c>
      <c r="I58" s="1">
        <f>Tabla1[[#This Row],[Precio unitario]]*Tabla1[[#This Row],[Conteo total]]</f>
        <v>30</v>
      </c>
    </row>
    <row r="59" spans="1:9" x14ac:dyDescent="0.3">
      <c r="A59">
        <v>320059</v>
      </c>
      <c r="B59" t="s">
        <v>60</v>
      </c>
      <c r="C59">
        <v>15</v>
      </c>
      <c r="D59" s="9">
        <v>11</v>
      </c>
      <c r="E59" s="9">
        <v>2</v>
      </c>
      <c r="F59" s="9">
        <v>1</v>
      </c>
      <c r="G59" s="2">
        <f>Tabla1[[#This Row],[ALMACEN]]+Tabla1[[#This Row],[SHOWROOM]]+Tabla1[[#This Row],[SEPARADO]]</f>
        <v>14</v>
      </c>
      <c r="H59" s="1">
        <f>VLOOKUP(Tabla1[[#This Row],[Código]], [2]!Tabla1[#Data], 8,)</f>
        <v>19</v>
      </c>
      <c r="I59" s="1">
        <f>Tabla1[[#This Row],[Precio unitario]]*Tabla1[[#This Row],[Conteo total]]</f>
        <v>266</v>
      </c>
    </row>
    <row r="60" spans="1:9" hidden="1" x14ac:dyDescent="0.3">
      <c r="A60">
        <v>320060</v>
      </c>
      <c r="B60" t="s">
        <v>61</v>
      </c>
      <c r="C60">
        <v>4</v>
      </c>
      <c r="D60" s="9"/>
      <c r="E60" s="9"/>
      <c r="F60" s="9"/>
      <c r="G60" s="2">
        <f>Tabla1[[#This Row],[ALMACEN]]+Tabla1[[#This Row],[SHOWROOM]]+Tabla1[[#This Row],[SEPARADO]]</f>
        <v>0</v>
      </c>
      <c r="H60" s="1">
        <f>VLOOKUP(Tabla1[[#This Row],[Código]], [2]!Tabla1[#Data], 8,)</f>
        <v>7</v>
      </c>
      <c r="I60" s="1">
        <f>Tabla1[[#This Row],[Precio unitario]]*Tabla1[[#This Row],[Conteo total]]</f>
        <v>0</v>
      </c>
    </row>
    <row r="61" spans="1:9" hidden="1" x14ac:dyDescent="0.3">
      <c r="A61">
        <v>320061</v>
      </c>
      <c r="B61" t="s">
        <v>62</v>
      </c>
      <c r="C61">
        <v>8</v>
      </c>
      <c r="D61" s="9"/>
      <c r="E61" s="9"/>
      <c r="F61" s="9"/>
      <c r="G61" s="2">
        <f>Tabla1[[#This Row],[ALMACEN]]+Tabla1[[#This Row],[SHOWROOM]]+Tabla1[[#This Row],[SEPARADO]]</f>
        <v>0</v>
      </c>
      <c r="H61" s="1">
        <f>VLOOKUP(Tabla1[[#This Row],[Código]], [2]!Tabla1[#Data], 8,)</f>
        <v>26</v>
      </c>
      <c r="I61" s="1">
        <f>Tabla1[[#This Row],[Precio unitario]]*Tabla1[[#This Row],[Conteo total]]</f>
        <v>0</v>
      </c>
    </row>
    <row r="62" spans="1:9" hidden="1" x14ac:dyDescent="0.3">
      <c r="A62">
        <v>320062</v>
      </c>
      <c r="B62" t="s">
        <v>63</v>
      </c>
      <c r="C62">
        <v>6</v>
      </c>
      <c r="D62" s="9"/>
      <c r="E62" s="9"/>
      <c r="F62" s="9"/>
      <c r="G62" s="2">
        <f>Tabla1[[#This Row],[ALMACEN]]+Tabla1[[#This Row],[SHOWROOM]]+Tabla1[[#This Row],[SEPARADO]]</f>
        <v>0</v>
      </c>
      <c r="H62" s="1">
        <f>VLOOKUP(Tabla1[[#This Row],[Código]], [2]!Tabla1[#Data], 8,)</f>
        <v>29</v>
      </c>
      <c r="I62" s="1">
        <f>Tabla1[[#This Row],[Precio unitario]]*Tabla1[[#This Row],[Conteo total]]</f>
        <v>0</v>
      </c>
    </row>
    <row r="63" spans="1:9" hidden="1" x14ac:dyDescent="0.3">
      <c r="A63">
        <v>320063</v>
      </c>
      <c r="B63" t="s">
        <v>64</v>
      </c>
      <c r="C63">
        <v>10</v>
      </c>
      <c r="D63" s="9"/>
      <c r="E63" s="9"/>
      <c r="F63" s="9"/>
      <c r="G63" s="2">
        <f>Tabla1[[#This Row],[ALMACEN]]+Tabla1[[#This Row],[SHOWROOM]]+Tabla1[[#This Row],[SEPARADO]]</f>
        <v>0</v>
      </c>
      <c r="H63" s="1">
        <f>VLOOKUP(Tabla1[[#This Row],[Código]], [2]!Tabla1[#Data], 8,)</f>
        <v>33</v>
      </c>
      <c r="I63" s="1">
        <f>Tabla1[[#This Row],[Precio unitario]]*Tabla1[[#This Row],[Conteo total]]</f>
        <v>0</v>
      </c>
    </row>
    <row r="64" spans="1:9" x14ac:dyDescent="0.3">
      <c r="A64">
        <v>320064</v>
      </c>
      <c r="B64" t="s">
        <v>65</v>
      </c>
      <c r="C64">
        <v>38</v>
      </c>
      <c r="D64" s="9">
        <v>36</v>
      </c>
      <c r="E64" s="9">
        <v>2</v>
      </c>
      <c r="F64" s="9"/>
      <c r="G64" s="2">
        <f>Tabla1[[#This Row],[ALMACEN]]+Tabla1[[#This Row],[SHOWROOM]]+Tabla1[[#This Row],[SEPARADO]]</f>
        <v>38</v>
      </c>
      <c r="H64" s="1">
        <f>VLOOKUP(Tabla1[[#This Row],[Código]], [2]!Tabla1[#Data], 8,)</f>
        <v>12</v>
      </c>
      <c r="I64" s="1">
        <f>Tabla1[[#This Row],[Precio unitario]]*Tabla1[[#This Row],[Conteo total]]</f>
        <v>456</v>
      </c>
    </row>
    <row r="65" spans="1:9" x14ac:dyDescent="0.3">
      <c r="A65">
        <v>320065</v>
      </c>
      <c r="B65" t="s">
        <v>66</v>
      </c>
      <c r="C65">
        <v>43</v>
      </c>
      <c r="D65" s="9">
        <v>40</v>
      </c>
      <c r="E65" s="9">
        <v>3</v>
      </c>
      <c r="F65" s="9"/>
      <c r="G65" s="2">
        <f>Tabla1[[#This Row],[ALMACEN]]+Tabla1[[#This Row],[SHOWROOM]]+Tabla1[[#This Row],[SEPARADO]]</f>
        <v>43</v>
      </c>
      <c r="H65" s="1">
        <f>VLOOKUP(Tabla1[[#This Row],[Código]], [2]!Tabla1[#Data], 8,)</f>
        <v>12</v>
      </c>
      <c r="I65" s="1">
        <f>Tabla1[[#This Row],[Precio unitario]]*Tabla1[[#This Row],[Conteo total]]</f>
        <v>516</v>
      </c>
    </row>
    <row r="66" spans="1:9" x14ac:dyDescent="0.3">
      <c r="A66">
        <v>320066</v>
      </c>
      <c r="B66" t="s">
        <v>67</v>
      </c>
      <c r="C66">
        <v>19</v>
      </c>
      <c r="D66" s="9">
        <v>12</v>
      </c>
      <c r="E66" s="9">
        <v>2</v>
      </c>
      <c r="F66" s="9"/>
      <c r="G66" s="2">
        <f>Tabla1[[#This Row],[ALMACEN]]+Tabla1[[#This Row],[SHOWROOM]]+Tabla1[[#This Row],[SEPARADO]]</f>
        <v>14</v>
      </c>
      <c r="H66" s="1">
        <f>VLOOKUP(Tabla1[[#This Row],[Código]], [2]!Tabla1[#Data], 8,)</f>
        <v>8</v>
      </c>
      <c r="I66" s="1">
        <f>Tabla1[[#This Row],[Precio unitario]]*Tabla1[[#This Row],[Conteo total]]</f>
        <v>112</v>
      </c>
    </row>
    <row r="67" spans="1:9" x14ac:dyDescent="0.3">
      <c r="A67">
        <v>320067</v>
      </c>
      <c r="B67" t="s">
        <v>68</v>
      </c>
      <c r="C67">
        <v>40</v>
      </c>
      <c r="D67" s="9">
        <v>26</v>
      </c>
      <c r="E67" s="9">
        <v>5</v>
      </c>
      <c r="F67" s="9"/>
      <c r="G67" s="2">
        <f>Tabla1[[#This Row],[ALMACEN]]+Tabla1[[#This Row],[SHOWROOM]]+Tabla1[[#This Row],[SEPARADO]]</f>
        <v>31</v>
      </c>
      <c r="H67" s="1">
        <f>VLOOKUP(Tabla1[[#This Row],[Código]], [2]!Tabla1[#Data], 8,)</f>
        <v>8</v>
      </c>
      <c r="I67" s="1">
        <f>Tabla1[[#This Row],[Precio unitario]]*Tabla1[[#This Row],[Conteo total]]</f>
        <v>248</v>
      </c>
    </row>
    <row r="68" spans="1:9" x14ac:dyDescent="0.3">
      <c r="A68">
        <v>320068</v>
      </c>
      <c r="B68" t="s">
        <v>69</v>
      </c>
      <c r="C68">
        <v>14</v>
      </c>
      <c r="D68" s="9">
        <v>2</v>
      </c>
      <c r="E68" s="9">
        <v>4</v>
      </c>
      <c r="F68" s="9">
        <v>1</v>
      </c>
      <c r="G68" s="2">
        <f>Tabla1[[#This Row],[ALMACEN]]+Tabla1[[#This Row],[SHOWROOM]]+Tabla1[[#This Row],[SEPARADO]]</f>
        <v>7</v>
      </c>
      <c r="H68" s="1">
        <f>VLOOKUP(Tabla1[[#This Row],[Código]], [2]!Tabla1[#Data], 8,)</f>
        <v>9</v>
      </c>
      <c r="I68" s="1">
        <f>Tabla1[[#This Row],[Precio unitario]]*Tabla1[[#This Row],[Conteo total]]</f>
        <v>63</v>
      </c>
    </row>
    <row r="69" spans="1:9" x14ac:dyDescent="0.3">
      <c r="A69">
        <v>320069</v>
      </c>
      <c r="B69" t="s">
        <v>70</v>
      </c>
      <c r="C69">
        <v>7</v>
      </c>
      <c r="D69" s="9"/>
      <c r="E69" s="9">
        <v>2</v>
      </c>
      <c r="F69" s="9"/>
      <c r="G69" s="2">
        <f>Tabla1[[#This Row],[ALMACEN]]+Tabla1[[#This Row],[SHOWROOM]]+Tabla1[[#This Row],[SEPARADO]]</f>
        <v>2</v>
      </c>
      <c r="H69" s="1">
        <f>VLOOKUP(Tabla1[[#This Row],[Código]], [2]!Tabla1[#Data], 8,)</f>
        <v>12</v>
      </c>
      <c r="I69" s="1">
        <f>Tabla1[[#This Row],[Precio unitario]]*Tabla1[[#This Row],[Conteo total]]</f>
        <v>24</v>
      </c>
    </row>
    <row r="70" spans="1:9" hidden="1" x14ac:dyDescent="0.3">
      <c r="A70">
        <v>320070</v>
      </c>
      <c r="B70" t="s">
        <v>71</v>
      </c>
      <c r="C70">
        <v>9</v>
      </c>
      <c r="D70" s="9"/>
      <c r="E70" s="9"/>
      <c r="F70" s="9"/>
      <c r="G70" s="2">
        <f>Tabla1[[#This Row],[ALMACEN]]+Tabla1[[#This Row],[SHOWROOM]]+Tabla1[[#This Row],[SEPARADO]]</f>
        <v>0</v>
      </c>
      <c r="H70" s="1">
        <f>VLOOKUP(Tabla1[[#This Row],[Código]], [2]!Tabla1[#Data], 8,)</f>
        <v>55</v>
      </c>
      <c r="I70" s="1">
        <f>Tabla1[[#This Row],[Precio unitario]]*Tabla1[[#This Row],[Conteo total]]</f>
        <v>0</v>
      </c>
    </row>
    <row r="71" spans="1:9" x14ac:dyDescent="0.3">
      <c r="A71">
        <v>320071</v>
      </c>
      <c r="B71" t="s">
        <v>72</v>
      </c>
      <c r="C71">
        <v>18</v>
      </c>
      <c r="D71" s="9"/>
      <c r="E71" s="9">
        <v>15</v>
      </c>
      <c r="F71" s="9">
        <v>1</v>
      </c>
      <c r="G71" s="2">
        <f>Tabla1[[#This Row],[ALMACEN]]+Tabla1[[#This Row],[SHOWROOM]]+Tabla1[[#This Row],[SEPARADO]]</f>
        <v>16</v>
      </c>
      <c r="H71" s="1">
        <f>VLOOKUP(Tabla1[[#This Row],[Código]], [2]!Tabla1[#Data], 8,)</f>
        <v>7</v>
      </c>
      <c r="I71" s="1">
        <f>Tabla1[[#This Row],[Precio unitario]]*Tabla1[[#This Row],[Conteo total]]</f>
        <v>112</v>
      </c>
    </row>
    <row r="72" spans="1:9" x14ac:dyDescent="0.3">
      <c r="A72">
        <v>320072</v>
      </c>
      <c r="B72" t="s">
        <v>73</v>
      </c>
      <c r="C72">
        <v>25</v>
      </c>
      <c r="D72" s="9"/>
      <c r="E72" s="9">
        <v>23</v>
      </c>
      <c r="F72" s="9">
        <v>1</v>
      </c>
      <c r="G72" s="2">
        <f>Tabla1[[#This Row],[ALMACEN]]+Tabla1[[#This Row],[SHOWROOM]]+Tabla1[[#This Row],[SEPARADO]]</f>
        <v>24</v>
      </c>
      <c r="H72" s="1">
        <f>VLOOKUP(Tabla1[[#This Row],[Código]], [2]!Tabla1[#Data], 8,)</f>
        <v>7</v>
      </c>
      <c r="I72" s="1">
        <f>Tabla1[[#This Row],[Precio unitario]]*Tabla1[[#This Row],[Conteo total]]</f>
        <v>168</v>
      </c>
    </row>
    <row r="73" spans="1:9" hidden="1" x14ac:dyDescent="0.3">
      <c r="A73">
        <v>320073</v>
      </c>
      <c r="B73" t="s">
        <v>74</v>
      </c>
      <c r="C73">
        <v>6</v>
      </c>
      <c r="D73" s="9"/>
      <c r="E73" s="9"/>
      <c r="F73" s="9"/>
      <c r="G73" s="2">
        <f>Tabla1[[#This Row],[ALMACEN]]+Tabla1[[#This Row],[SHOWROOM]]+Tabla1[[#This Row],[SEPARADO]]</f>
        <v>0</v>
      </c>
      <c r="H73" s="1">
        <f>VLOOKUP(Tabla1[[#This Row],[Código]], [2]!Tabla1[#Data], 8,)</f>
        <v>7</v>
      </c>
      <c r="I73" s="1">
        <f>Tabla1[[#This Row],[Precio unitario]]*Tabla1[[#This Row],[Conteo total]]</f>
        <v>0</v>
      </c>
    </row>
    <row r="74" spans="1:9" x14ac:dyDescent="0.3">
      <c r="A74">
        <v>320074</v>
      </c>
      <c r="B74" t="s">
        <v>75</v>
      </c>
      <c r="C74">
        <v>36</v>
      </c>
      <c r="D74" s="9"/>
      <c r="E74" s="9">
        <v>5</v>
      </c>
      <c r="F74" s="9"/>
      <c r="G74" s="2">
        <f>Tabla1[[#This Row],[ALMACEN]]+Tabla1[[#This Row],[SHOWROOM]]+Tabla1[[#This Row],[SEPARADO]]</f>
        <v>5</v>
      </c>
      <c r="H74" s="1">
        <f>VLOOKUP(Tabla1[[#This Row],[Código]], [2]!Tabla1[#Data], 8,)</f>
        <v>7</v>
      </c>
      <c r="I74" s="1">
        <f>Tabla1[[#This Row],[Precio unitario]]*Tabla1[[#This Row],[Conteo total]]</f>
        <v>35</v>
      </c>
    </row>
    <row r="75" spans="1:9" hidden="1" x14ac:dyDescent="0.3">
      <c r="A75">
        <v>320076</v>
      </c>
      <c r="B75" t="s">
        <v>76</v>
      </c>
      <c r="C75">
        <v>9</v>
      </c>
      <c r="D75" s="9"/>
      <c r="E75" s="9"/>
      <c r="F75" s="9"/>
      <c r="G75" s="2">
        <f>Tabla1[[#This Row],[ALMACEN]]+Tabla1[[#This Row],[SHOWROOM]]+Tabla1[[#This Row],[SEPARADO]]</f>
        <v>0</v>
      </c>
      <c r="H75" s="1">
        <f>VLOOKUP(Tabla1[[#This Row],[Código]], [2]!Tabla1[#Data], 8,)</f>
        <v>6</v>
      </c>
      <c r="I75" s="1">
        <f>Tabla1[[#This Row],[Precio unitario]]*Tabla1[[#This Row],[Conteo total]]</f>
        <v>0</v>
      </c>
    </row>
    <row r="76" spans="1:9" x14ac:dyDescent="0.3">
      <c r="A76">
        <v>320077</v>
      </c>
      <c r="B76" t="s">
        <v>77</v>
      </c>
      <c r="C76">
        <v>6</v>
      </c>
      <c r="D76" s="9">
        <v>3</v>
      </c>
      <c r="E76" s="9">
        <v>2</v>
      </c>
      <c r="F76" s="9"/>
      <c r="G76" s="2">
        <f>Tabla1[[#This Row],[ALMACEN]]+Tabla1[[#This Row],[SHOWROOM]]+Tabla1[[#This Row],[SEPARADO]]</f>
        <v>5</v>
      </c>
      <c r="H76" s="1">
        <f>VLOOKUP(Tabla1[[#This Row],[Código]], [2]!Tabla1[#Data], 8,)</f>
        <v>84</v>
      </c>
      <c r="I76" s="1">
        <f>Tabla1[[#This Row],[Precio unitario]]*Tabla1[[#This Row],[Conteo total]]</f>
        <v>420</v>
      </c>
    </row>
    <row r="77" spans="1:9" hidden="1" x14ac:dyDescent="0.3">
      <c r="A77">
        <v>320078</v>
      </c>
      <c r="B77" t="s">
        <v>78</v>
      </c>
      <c r="C77">
        <v>5</v>
      </c>
      <c r="D77" s="9"/>
      <c r="E77" s="9"/>
      <c r="F77" s="9"/>
      <c r="G77" s="2">
        <f>Tabla1[[#This Row],[ALMACEN]]+Tabla1[[#This Row],[SHOWROOM]]+Tabla1[[#This Row],[SEPARADO]]</f>
        <v>0</v>
      </c>
      <c r="H77" s="1">
        <f>VLOOKUP(Tabla1[[#This Row],[Código]], [2]!Tabla1[#Data], 8,)</f>
        <v>84</v>
      </c>
      <c r="I77" s="1">
        <f>Tabla1[[#This Row],[Precio unitario]]*Tabla1[[#This Row],[Conteo total]]</f>
        <v>0</v>
      </c>
    </row>
    <row r="78" spans="1:9" x14ac:dyDescent="0.3">
      <c r="A78">
        <v>320079</v>
      </c>
      <c r="B78" t="s">
        <v>79</v>
      </c>
      <c r="C78">
        <v>16</v>
      </c>
      <c r="D78" s="9"/>
      <c r="E78" s="9">
        <v>13</v>
      </c>
      <c r="F78" s="9">
        <v>1</v>
      </c>
      <c r="G78" s="2">
        <f>Tabla1[[#This Row],[ALMACEN]]+Tabla1[[#This Row],[SHOWROOM]]+Tabla1[[#This Row],[SEPARADO]]</f>
        <v>14</v>
      </c>
      <c r="H78" s="1">
        <f>VLOOKUP(Tabla1[[#This Row],[Código]], [2]!Tabla1[#Data], 8,)</f>
        <v>18</v>
      </c>
      <c r="I78" s="1">
        <f>Tabla1[[#This Row],[Precio unitario]]*Tabla1[[#This Row],[Conteo total]]</f>
        <v>252</v>
      </c>
    </row>
    <row r="79" spans="1:9" x14ac:dyDescent="0.3">
      <c r="A79">
        <v>320080</v>
      </c>
      <c r="B79" t="s">
        <v>80</v>
      </c>
      <c r="C79">
        <v>15</v>
      </c>
      <c r="D79" s="9"/>
      <c r="E79" s="9">
        <v>14</v>
      </c>
      <c r="F79" s="9"/>
      <c r="G79" s="2">
        <f>Tabla1[[#This Row],[ALMACEN]]+Tabla1[[#This Row],[SHOWROOM]]+Tabla1[[#This Row],[SEPARADO]]</f>
        <v>14</v>
      </c>
      <c r="H79" s="1">
        <f>VLOOKUP(Tabla1[[#This Row],[Código]], [2]!Tabla1[#Data], 8,)</f>
        <v>18</v>
      </c>
      <c r="I79" s="1">
        <f>Tabla1[[#This Row],[Precio unitario]]*Tabla1[[#This Row],[Conteo total]]</f>
        <v>252</v>
      </c>
    </row>
    <row r="80" spans="1:9" hidden="1" x14ac:dyDescent="0.3">
      <c r="A80">
        <v>320081</v>
      </c>
      <c r="B80" t="s">
        <v>81</v>
      </c>
      <c r="C80">
        <v>26</v>
      </c>
      <c r="D80" s="9"/>
      <c r="E80" s="9"/>
      <c r="F80" s="9"/>
      <c r="G80" s="2">
        <f>Tabla1[[#This Row],[ALMACEN]]+Tabla1[[#This Row],[SHOWROOM]]+Tabla1[[#This Row],[SEPARADO]]</f>
        <v>0</v>
      </c>
      <c r="H80" s="1">
        <f>VLOOKUP(Tabla1[[#This Row],[Código]], [2]!Tabla1[#Data], 8,)</f>
        <v>35</v>
      </c>
      <c r="I80" s="1">
        <f>Tabla1[[#This Row],[Precio unitario]]*Tabla1[[#This Row],[Conteo total]]</f>
        <v>0</v>
      </c>
    </row>
    <row r="81" spans="1:10" x14ac:dyDescent="0.3">
      <c r="A81">
        <v>320082</v>
      </c>
      <c r="B81" t="s">
        <v>82</v>
      </c>
      <c r="C81">
        <v>88</v>
      </c>
      <c r="D81" s="9">
        <v>49</v>
      </c>
      <c r="E81" s="9">
        <v>1</v>
      </c>
      <c r="F81" s="9"/>
      <c r="G81" s="2">
        <f>Tabla1[[#This Row],[ALMACEN]]+Tabla1[[#This Row],[SHOWROOM]]+Tabla1[[#This Row],[SEPARADO]]</f>
        <v>50</v>
      </c>
      <c r="H81" s="1">
        <f>VLOOKUP(Tabla1[[#This Row],[Código]], [2]!Tabla1[#Data], 8,)</f>
        <v>12</v>
      </c>
      <c r="I81" s="1">
        <f>Tabla1[[#This Row],[Precio unitario]]*Tabla1[[#This Row],[Conteo total]]</f>
        <v>600</v>
      </c>
    </row>
    <row r="82" spans="1:10" hidden="1" x14ac:dyDescent="0.3">
      <c r="A82">
        <v>320083</v>
      </c>
      <c r="B82" t="s">
        <v>83</v>
      </c>
      <c r="C82">
        <v>2</v>
      </c>
      <c r="D82" s="9">
        <v>0</v>
      </c>
      <c r="E82" s="9"/>
      <c r="F82" s="9"/>
      <c r="G82" s="2">
        <f>Tabla1[[#This Row],[ALMACEN]]+Tabla1[[#This Row],[SHOWROOM]]+Tabla1[[#This Row],[SEPARADO]]</f>
        <v>0</v>
      </c>
      <c r="H82" s="1">
        <f>VLOOKUP(Tabla1[[#This Row],[Código]], [2]!Tabla1[#Data], 8,)</f>
        <v>58</v>
      </c>
      <c r="I82" s="1">
        <f>Tabla1[[#This Row],[Precio unitario]]*Tabla1[[#This Row],[Conteo total]]</f>
        <v>0</v>
      </c>
    </row>
    <row r="83" spans="1:10" x14ac:dyDescent="0.3">
      <c r="A83">
        <v>320084</v>
      </c>
      <c r="B83" t="s">
        <v>84</v>
      </c>
      <c r="C83">
        <v>4</v>
      </c>
      <c r="D83" s="9">
        <v>2</v>
      </c>
      <c r="E83" s="9">
        <v>1</v>
      </c>
      <c r="F83" s="9"/>
      <c r="G83" s="2">
        <f>Tabla1[[#This Row],[ALMACEN]]+Tabla1[[#This Row],[SHOWROOM]]+Tabla1[[#This Row],[SEPARADO]]</f>
        <v>3</v>
      </c>
      <c r="H83" s="1">
        <f>VLOOKUP(Tabla1[[#This Row],[Código]], [2]!Tabla1[#Data], 8,)</f>
        <v>58</v>
      </c>
      <c r="I83" s="1">
        <f>Tabla1[[#This Row],[Precio unitario]]*Tabla1[[#This Row],[Conteo total]]</f>
        <v>174</v>
      </c>
    </row>
    <row r="84" spans="1:10" x14ac:dyDescent="0.3">
      <c r="A84">
        <v>320085</v>
      </c>
      <c r="B84" t="s">
        <v>85</v>
      </c>
      <c r="C84">
        <v>28</v>
      </c>
      <c r="D84" s="9">
        <v>10</v>
      </c>
      <c r="E84" s="9">
        <v>1</v>
      </c>
      <c r="F84" s="9">
        <v>1</v>
      </c>
      <c r="G84" s="2">
        <f>Tabla1[[#This Row],[ALMACEN]]+Tabla1[[#This Row],[SHOWROOM]]+Tabla1[[#This Row],[SEPARADO]]</f>
        <v>12</v>
      </c>
      <c r="H84" s="1">
        <f>VLOOKUP(Tabla1[[#This Row],[Código]], [2]!Tabla1[#Data], 8,)</f>
        <v>9</v>
      </c>
      <c r="I84" s="1">
        <f>Tabla1[[#This Row],[Precio unitario]]*Tabla1[[#This Row],[Conteo total]]</f>
        <v>108</v>
      </c>
      <c r="J84" t="s">
        <v>445</v>
      </c>
    </row>
    <row r="85" spans="1:10" x14ac:dyDescent="0.3">
      <c r="A85">
        <v>320086</v>
      </c>
      <c r="B85" t="s">
        <v>86</v>
      </c>
      <c r="C85">
        <v>19</v>
      </c>
      <c r="D85" s="9">
        <v>9</v>
      </c>
      <c r="E85" s="9">
        <v>1</v>
      </c>
      <c r="F85" s="9"/>
      <c r="G85" s="2">
        <f>Tabla1[[#This Row],[ALMACEN]]+Tabla1[[#This Row],[SHOWROOM]]+Tabla1[[#This Row],[SEPARADO]]</f>
        <v>10</v>
      </c>
      <c r="H85" s="1">
        <f>VLOOKUP(Tabla1[[#This Row],[Código]], [2]!Tabla1[#Data], 8,)</f>
        <v>9</v>
      </c>
      <c r="I85" s="1">
        <f>Tabla1[[#This Row],[Precio unitario]]*Tabla1[[#This Row],[Conteo total]]</f>
        <v>90</v>
      </c>
    </row>
    <row r="86" spans="1:10" hidden="1" x14ac:dyDescent="0.3">
      <c r="A86">
        <v>320087</v>
      </c>
      <c r="B86" t="s">
        <v>87</v>
      </c>
      <c r="C86">
        <v>16</v>
      </c>
      <c r="D86" s="9"/>
      <c r="E86" s="9"/>
      <c r="F86" s="9"/>
      <c r="G86" s="2">
        <f>Tabla1[[#This Row],[ALMACEN]]+Tabla1[[#This Row],[SHOWROOM]]+Tabla1[[#This Row],[SEPARADO]]</f>
        <v>0</v>
      </c>
      <c r="H86" s="1">
        <f>VLOOKUP(Tabla1[[#This Row],[Código]], [2]!Tabla1[#Data], 8,)</f>
        <v>17</v>
      </c>
      <c r="I86" s="1">
        <f>Tabla1[[#This Row],[Precio unitario]]*Tabla1[[#This Row],[Conteo total]]</f>
        <v>0</v>
      </c>
    </row>
    <row r="87" spans="1:10" hidden="1" x14ac:dyDescent="0.3">
      <c r="A87">
        <v>320088</v>
      </c>
      <c r="B87" t="s">
        <v>88</v>
      </c>
      <c r="C87">
        <v>4</v>
      </c>
      <c r="D87" s="9"/>
      <c r="E87" s="9"/>
      <c r="F87" s="9"/>
      <c r="G87" s="2">
        <f>Tabla1[[#This Row],[ALMACEN]]+Tabla1[[#This Row],[SHOWROOM]]+Tabla1[[#This Row],[SEPARADO]]</f>
        <v>0</v>
      </c>
      <c r="H87" s="1">
        <f>VLOOKUP(Tabla1[[#This Row],[Código]], [2]!Tabla1[#Data], 8,)</f>
        <v>27</v>
      </c>
      <c r="I87" s="1">
        <f>Tabla1[[#This Row],[Precio unitario]]*Tabla1[[#This Row],[Conteo total]]</f>
        <v>0</v>
      </c>
    </row>
    <row r="88" spans="1:10" x14ac:dyDescent="0.3">
      <c r="A88">
        <v>320089</v>
      </c>
      <c r="B88" t="s">
        <v>89</v>
      </c>
      <c r="C88">
        <v>32</v>
      </c>
      <c r="D88" s="9">
        <v>24</v>
      </c>
      <c r="E88" s="9"/>
      <c r="F88" s="9"/>
      <c r="G88" s="2">
        <f>Tabla1[[#This Row],[ALMACEN]]+Tabla1[[#This Row],[SHOWROOM]]+Tabla1[[#This Row],[SEPARADO]]</f>
        <v>24</v>
      </c>
      <c r="H88" s="1">
        <f>VLOOKUP(Tabla1[[#This Row],[Código]], [2]!Tabla1[#Data], 8,)</f>
        <v>13</v>
      </c>
      <c r="I88" s="1">
        <f>Tabla1[[#This Row],[Precio unitario]]*Tabla1[[#This Row],[Conteo total]]</f>
        <v>312</v>
      </c>
    </row>
    <row r="89" spans="1:10" hidden="1" x14ac:dyDescent="0.3">
      <c r="A89">
        <v>320090</v>
      </c>
      <c r="B89" t="s">
        <v>90</v>
      </c>
      <c r="C89">
        <v>8</v>
      </c>
      <c r="D89" s="9"/>
      <c r="E89" s="9"/>
      <c r="F89" s="9"/>
      <c r="G89" s="2">
        <f>Tabla1[[#This Row],[ALMACEN]]+Tabla1[[#This Row],[SHOWROOM]]+Tabla1[[#This Row],[SEPARADO]]</f>
        <v>0</v>
      </c>
      <c r="H89" s="1">
        <f>VLOOKUP(Tabla1[[#This Row],[Código]], [2]!Tabla1[#Data], 8,)</f>
        <v>22</v>
      </c>
      <c r="I89" s="1">
        <f>Tabla1[[#This Row],[Precio unitario]]*Tabla1[[#This Row],[Conteo total]]</f>
        <v>0</v>
      </c>
    </row>
    <row r="90" spans="1:10" x14ac:dyDescent="0.3">
      <c r="A90">
        <v>320091</v>
      </c>
      <c r="B90" t="s">
        <v>91</v>
      </c>
      <c r="C90">
        <v>40</v>
      </c>
      <c r="D90" s="9">
        <v>30</v>
      </c>
      <c r="E90" s="9">
        <v>6</v>
      </c>
      <c r="F90" s="9">
        <v>1</v>
      </c>
      <c r="G90" s="2">
        <f>Tabla1[[#This Row],[ALMACEN]]+Tabla1[[#This Row],[SHOWROOM]]+Tabla1[[#This Row],[SEPARADO]]</f>
        <v>37</v>
      </c>
      <c r="H90" s="1">
        <f>VLOOKUP(Tabla1[[#This Row],[Código]], [2]!Tabla1[#Data], 8,)</f>
        <v>13</v>
      </c>
      <c r="I90" s="1">
        <f>Tabla1[[#This Row],[Precio unitario]]*Tabla1[[#This Row],[Conteo total]]</f>
        <v>481</v>
      </c>
    </row>
    <row r="91" spans="1:10" hidden="1" x14ac:dyDescent="0.3">
      <c r="A91">
        <v>320092</v>
      </c>
      <c r="B91" t="s">
        <v>92</v>
      </c>
      <c r="C91">
        <v>5</v>
      </c>
      <c r="D91" s="9"/>
      <c r="E91" s="9"/>
      <c r="F91" s="9"/>
      <c r="G91" s="2">
        <f>Tabla1[[#This Row],[ALMACEN]]+Tabla1[[#This Row],[SHOWROOM]]+Tabla1[[#This Row],[SEPARADO]]</f>
        <v>0</v>
      </c>
      <c r="H91" s="1">
        <f>VLOOKUP(Tabla1[[#This Row],[Código]], [2]!Tabla1[#Data], 8,)</f>
        <v>113</v>
      </c>
      <c r="I91" s="1">
        <f>Tabla1[[#This Row],[Precio unitario]]*Tabla1[[#This Row],[Conteo total]]</f>
        <v>0</v>
      </c>
    </row>
    <row r="92" spans="1:10" x14ac:dyDescent="0.3">
      <c r="A92">
        <v>320093</v>
      </c>
      <c r="B92" t="s">
        <v>93</v>
      </c>
      <c r="C92">
        <v>9</v>
      </c>
      <c r="D92" s="9"/>
      <c r="E92" s="9">
        <v>6</v>
      </c>
      <c r="F92" s="9"/>
      <c r="G92" s="2">
        <f>Tabla1[[#This Row],[ALMACEN]]+Tabla1[[#This Row],[SHOWROOM]]+Tabla1[[#This Row],[SEPARADO]]</f>
        <v>6</v>
      </c>
      <c r="H92" s="1">
        <f>VLOOKUP(Tabla1[[#This Row],[Código]], [2]!Tabla1[#Data], 8,)</f>
        <v>22</v>
      </c>
      <c r="I92" s="1">
        <f>Tabla1[[#This Row],[Precio unitario]]*Tabla1[[#This Row],[Conteo total]]</f>
        <v>132</v>
      </c>
    </row>
    <row r="93" spans="1:10" hidden="1" x14ac:dyDescent="0.3">
      <c r="A93">
        <v>320094</v>
      </c>
      <c r="B93" t="s">
        <v>94</v>
      </c>
      <c r="C93">
        <v>15</v>
      </c>
      <c r="D93" s="9"/>
      <c r="E93" s="9"/>
      <c r="F93" s="9"/>
      <c r="G93" s="2">
        <f>Tabla1[[#This Row],[ALMACEN]]+Tabla1[[#This Row],[SHOWROOM]]+Tabla1[[#This Row],[SEPARADO]]</f>
        <v>0</v>
      </c>
      <c r="H93" s="1">
        <f>VLOOKUP(Tabla1[[#This Row],[Código]], [2]!Tabla1[#Data], 8,)</f>
        <v>7</v>
      </c>
      <c r="I93" s="1">
        <f>Tabla1[[#This Row],[Precio unitario]]*Tabla1[[#This Row],[Conteo total]]</f>
        <v>0</v>
      </c>
    </row>
    <row r="94" spans="1:10" x14ac:dyDescent="0.3">
      <c r="A94">
        <v>320095</v>
      </c>
      <c r="B94" t="s">
        <v>95</v>
      </c>
      <c r="C94">
        <v>33</v>
      </c>
      <c r="D94" s="9">
        <v>23</v>
      </c>
      <c r="E94" s="9">
        <v>3</v>
      </c>
      <c r="F94" s="9"/>
      <c r="G94" s="2">
        <f>Tabla1[[#This Row],[ALMACEN]]+Tabla1[[#This Row],[SHOWROOM]]+Tabla1[[#This Row],[SEPARADO]]</f>
        <v>26</v>
      </c>
      <c r="H94" s="1">
        <f>VLOOKUP(Tabla1[[#This Row],[Código]], [2]!Tabla1[#Data], 8,)</f>
        <v>16</v>
      </c>
      <c r="I94" s="1">
        <f>Tabla1[[#This Row],[Precio unitario]]*Tabla1[[#This Row],[Conteo total]]</f>
        <v>416</v>
      </c>
    </row>
    <row r="95" spans="1:10" x14ac:dyDescent="0.3">
      <c r="A95">
        <v>320096</v>
      </c>
      <c r="B95" t="s">
        <v>96</v>
      </c>
      <c r="C95">
        <v>21</v>
      </c>
      <c r="D95" s="9">
        <v>11</v>
      </c>
      <c r="E95" s="9">
        <v>1</v>
      </c>
      <c r="F95" s="9"/>
      <c r="G95" s="2">
        <f>Tabla1[[#This Row],[ALMACEN]]+Tabla1[[#This Row],[SHOWROOM]]+Tabla1[[#This Row],[SEPARADO]]</f>
        <v>12</v>
      </c>
      <c r="H95" s="1">
        <f>VLOOKUP(Tabla1[[#This Row],[Código]], [2]!Tabla1[#Data], 8,)</f>
        <v>7</v>
      </c>
      <c r="I95" s="1">
        <f>Tabla1[[#This Row],[Precio unitario]]*Tabla1[[#This Row],[Conteo total]]</f>
        <v>84</v>
      </c>
    </row>
    <row r="96" spans="1:10" x14ac:dyDescent="0.3">
      <c r="A96">
        <v>320097</v>
      </c>
      <c r="B96" t="s">
        <v>97</v>
      </c>
      <c r="C96">
        <v>27</v>
      </c>
      <c r="D96" s="9">
        <v>20</v>
      </c>
      <c r="E96" s="9">
        <v>1</v>
      </c>
      <c r="F96" s="9"/>
      <c r="G96" s="2">
        <f>Tabla1[[#This Row],[ALMACEN]]+Tabla1[[#This Row],[SHOWROOM]]+Tabla1[[#This Row],[SEPARADO]]</f>
        <v>21</v>
      </c>
      <c r="H96" s="1">
        <f>VLOOKUP(Tabla1[[#This Row],[Código]], [2]!Tabla1[#Data], 8,)</f>
        <v>35</v>
      </c>
      <c r="I96" s="1">
        <f>Tabla1[[#This Row],[Precio unitario]]*Tabla1[[#This Row],[Conteo total]]</f>
        <v>735</v>
      </c>
    </row>
    <row r="97" spans="1:9" x14ac:dyDescent="0.3">
      <c r="A97">
        <v>320098</v>
      </c>
      <c r="B97" t="s">
        <v>98</v>
      </c>
      <c r="C97">
        <v>97</v>
      </c>
      <c r="D97" s="9">
        <v>25</v>
      </c>
      <c r="E97" s="9">
        <v>1</v>
      </c>
      <c r="F97" s="9"/>
      <c r="G97" s="2">
        <f>Tabla1[[#This Row],[ALMACEN]]+Tabla1[[#This Row],[SHOWROOM]]+Tabla1[[#This Row],[SEPARADO]]</f>
        <v>26</v>
      </c>
      <c r="H97" s="1">
        <f>VLOOKUP(Tabla1[[#This Row],[Código]], [2]!Tabla1[#Data], 8,)</f>
        <v>6</v>
      </c>
      <c r="I97" s="1">
        <f>Tabla1[[#This Row],[Precio unitario]]*Tabla1[[#This Row],[Conteo total]]</f>
        <v>156</v>
      </c>
    </row>
    <row r="98" spans="1:9" x14ac:dyDescent="0.3">
      <c r="A98">
        <v>320099</v>
      </c>
      <c r="B98" t="s">
        <v>99</v>
      </c>
      <c r="C98">
        <v>37</v>
      </c>
      <c r="D98" s="9">
        <v>18</v>
      </c>
      <c r="E98" s="9">
        <v>2</v>
      </c>
      <c r="F98" s="9"/>
      <c r="G98" s="2">
        <f>Tabla1[[#This Row],[ALMACEN]]+Tabla1[[#This Row],[SHOWROOM]]+Tabla1[[#This Row],[SEPARADO]]</f>
        <v>20</v>
      </c>
      <c r="H98" s="1">
        <f>VLOOKUP(Tabla1[[#This Row],[Código]], [2]!Tabla1[#Data], 8,)</f>
        <v>6</v>
      </c>
      <c r="I98" s="1">
        <f>Tabla1[[#This Row],[Precio unitario]]*Tabla1[[#This Row],[Conteo total]]</f>
        <v>120</v>
      </c>
    </row>
    <row r="99" spans="1:9" hidden="1" x14ac:dyDescent="0.3">
      <c r="A99">
        <v>320100</v>
      </c>
      <c r="B99" t="s">
        <v>100</v>
      </c>
      <c r="C99">
        <v>9</v>
      </c>
      <c r="D99" s="9"/>
      <c r="E99" s="9"/>
      <c r="F99" s="9"/>
      <c r="G99" s="2">
        <f>Tabla1[[#This Row],[ALMACEN]]+Tabla1[[#This Row],[SHOWROOM]]+Tabla1[[#This Row],[SEPARADO]]</f>
        <v>0</v>
      </c>
      <c r="H99" s="1">
        <f>VLOOKUP(Tabla1[[#This Row],[Código]], [2]!Tabla1[#Data], 8,)</f>
        <v>8</v>
      </c>
      <c r="I99" s="1">
        <f>Tabla1[[#This Row],[Precio unitario]]*Tabla1[[#This Row],[Conteo total]]</f>
        <v>0</v>
      </c>
    </row>
    <row r="100" spans="1:9" hidden="1" x14ac:dyDescent="0.3">
      <c r="A100">
        <v>320101</v>
      </c>
      <c r="B100" t="s">
        <v>101</v>
      </c>
      <c r="C100">
        <v>83</v>
      </c>
      <c r="D100" s="9"/>
      <c r="E100" s="9"/>
      <c r="F100" s="9"/>
      <c r="G100" s="2">
        <f>Tabla1[[#This Row],[ALMACEN]]+Tabla1[[#This Row],[SHOWROOM]]+Tabla1[[#This Row],[SEPARADO]]</f>
        <v>0</v>
      </c>
      <c r="H100" s="1">
        <f>VLOOKUP(Tabla1[[#This Row],[Código]], [2]!Tabla1[#Data], 8,)</f>
        <v>25</v>
      </c>
      <c r="I100" s="1">
        <f>Tabla1[[#This Row],[Precio unitario]]*Tabla1[[#This Row],[Conteo total]]</f>
        <v>0</v>
      </c>
    </row>
    <row r="101" spans="1:9" x14ac:dyDescent="0.3">
      <c r="A101">
        <v>320102</v>
      </c>
      <c r="B101" t="s">
        <v>102</v>
      </c>
      <c r="C101">
        <v>16</v>
      </c>
      <c r="D101" s="9"/>
      <c r="E101" s="9">
        <v>2</v>
      </c>
      <c r="F101" s="9"/>
      <c r="G101" s="2">
        <f>Tabla1[[#This Row],[ALMACEN]]+Tabla1[[#This Row],[SHOWROOM]]+Tabla1[[#This Row],[SEPARADO]]</f>
        <v>2</v>
      </c>
      <c r="H101" s="1">
        <f>VLOOKUP(Tabla1[[#This Row],[Código]], [2]!Tabla1[#Data], 8,)</f>
        <v>9</v>
      </c>
      <c r="I101" s="1">
        <f>Tabla1[[#This Row],[Precio unitario]]*Tabla1[[#This Row],[Conteo total]]</f>
        <v>18</v>
      </c>
    </row>
    <row r="102" spans="1:9" x14ac:dyDescent="0.3">
      <c r="A102">
        <v>320103</v>
      </c>
      <c r="B102" t="s">
        <v>103</v>
      </c>
      <c r="C102">
        <v>38</v>
      </c>
      <c r="D102" s="9">
        <v>20</v>
      </c>
      <c r="E102" s="9">
        <v>2</v>
      </c>
      <c r="F102" s="9"/>
      <c r="G102" s="2">
        <f>Tabla1[[#This Row],[ALMACEN]]+Tabla1[[#This Row],[SHOWROOM]]+Tabla1[[#This Row],[SEPARADO]]</f>
        <v>22</v>
      </c>
      <c r="H102" s="1">
        <f>VLOOKUP(Tabla1[[#This Row],[Código]], [2]!Tabla1[#Data], 8,)</f>
        <v>9</v>
      </c>
      <c r="I102" s="1">
        <f>Tabla1[[#This Row],[Precio unitario]]*Tabla1[[#This Row],[Conteo total]]</f>
        <v>198</v>
      </c>
    </row>
    <row r="103" spans="1:9" hidden="1" x14ac:dyDescent="0.3">
      <c r="A103">
        <v>320104</v>
      </c>
      <c r="B103" t="s">
        <v>104</v>
      </c>
      <c r="C103">
        <v>4</v>
      </c>
      <c r="D103" s="9"/>
      <c r="E103" s="9"/>
      <c r="F103" s="9"/>
      <c r="G103" s="2">
        <f>Tabla1[[#This Row],[ALMACEN]]+Tabla1[[#This Row],[SHOWROOM]]+Tabla1[[#This Row],[SEPARADO]]</f>
        <v>0</v>
      </c>
      <c r="H103" s="1">
        <f>VLOOKUP(Tabla1[[#This Row],[Código]], [2]!Tabla1[#Data], 8,)</f>
        <v>80</v>
      </c>
      <c r="I103" s="1">
        <f>Tabla1[[#This Row],[Precio unitario]]*Tabla1[[#This Row],[Conteo total]]</f>
        <v>0</v>
      </c>
    </row>
    <row r="104" spans="1:9" x14ac:dyDescent="0.3">
      <c r="A104">
        <v>320105</v>
      </c>
      <c r="B104" t="s">
        <v>105</v>
      </c>
      <c r="C104">
        <v>24</v>
      </c>
      <c r="D104" s="9">
        <v>14</v>
      </c>
      <c r="E104" s="9">
        <v>4</v>
      </c>
      <c r="F104" s="9">
        <v>1</v>
      </c>
      <c r="G104" s="2">
        <f>Tabla1[[#This Row],[ALMACEN]]+Tabla1[[#This Row],[SHOWROOM]]+Tabla1[[#This Row],[SEPARADO]]</f>
        <v>19</v>
      </c>
      <c r="H104" s="1">
        <f>VLOOKUP(Tabla1[[#This Row],[Código]], [2]!Tabla1[#Data], 8,)</f>
        <v>7</v>
      </c>
      <c r="I104" s="1">
        <f>Tabla1[[#This Row],[Precio unitario]]*Tabla1[[#This Row],[Conteo total]]</f>
        <v>133</v>
      </c>
    </row>
    <row r="105" spans="1:9" x14ac:dyDescent="0.3">
      <c r="A105">
        <v>320106</v>
      </c>
      <c r="B105" t="s">
        <v>106</v>
      </c>
      <c r="C105">
        <v>41</v>
      </c>
      <c r="D105" s="9">
        <v>27</v>
      </c>
      <c r="E105" s="9">
        <v>12</v>
      </c>
      <c r="F105" s="9">
        <v>1</v>
      </c>
      <c r="G105" s="2">
        <f>Tabla1[[#This Row],[ALMACEN]]+Tabla1[[#This Row],[SHOWROOM]]+Tabla1[[#This Row],[SEPARADO]]</f>
        <v>40</v>
      </c>
      <c r="H105" s="1">
        <f>VLOOKUP(Tabla1[[#This Row],[Código]], [2]!Tabla1[#Data], 8,)</f>
        <v>7</v>
      </c>
      <c r="I105" s="1">
        <f>Tabla1[[#This Row],[Precio unitario]]*Tabla1[[#This Row],[Conteo total]]</f>
        <v>280</v>
      </c>
    </row>
    <row r="106" spans="1:9" x14ac:dyDescent="0.3">
      <c r="A106">
        <v>320107</v>
      </c>
      <c r="B106" t="s">
        <v>107</v>
      </c>
      <c r="C106">
        <v>37</v>
      </c>
      <c r="D106" s="9">
        <v>24</v>
      </c>
      <c r="E106" s="9">
        <v>8</v>
      </c>
      <c r="F106" s="9">
        <v>1</v>
      </c>
      <c r="G106" s="2">
        <f>Tabla1[[#This Row],[ALMACEN]]+Tabla1[[#This Row],[SHOWROOM]]+Tabla1[[#This Row],[SEPARADO]]</f>
        <v>33</v>
      </c>
      <c r="H106" s="1">
        <f>VLOOKUP(Tabla1[[#This Row],[Código]], [2]!Tabla1[#Data], 8,)</f>
        <v>7</v>
      </c>
      <c r="I106" s="1">
        <f>Tabla1[[#This Row],[Precio unitario]]*Tabla1[[#This Row],[Conteo total]]</f>
        <v>231</v>
      </c>
    </row>
    <row r="107" spans="1:9" x14ac:dyDescent="0.3">
      <c r="A107">
        <v>320108</v>
      </c>
      <c r="B107" t="s">
        <v>108</v>
      </c>
      <c r="C107">
        <v>56</v>
      </c>
      <c r="D107" s="9">
        <v>54</v>
      </c>
      <c r="E107" s="9">
        <v>2</v>
      </c>
      <c r="F107" s="9"/>
      <c r="G107" s="2">
        <f>Tabla1[[#This Row],[ALMACEN]]+Tabla1[[#This Row],[SHOWROOM]]+Tabla1[[#This Row],[SEPARADO]]</f>
        <v>56</v>
      </c>
      <c r="H107" s="1">
        <f>VLOOKUP(Tabla1[[#This Row],[Código]], [2]!Tabla1[#Data], 8,)</f>
        <v>12</v>
      </c>
      <c r="I107" s="1">
        <f>Tabla1[[#This Row],[Precio unitario]]*Tabla1[[#This Row],[Conteo total]]</f>
        <v>672</v>
      </c>
    </row>
    <row r="108" spans="1:9" x14ac:dyDescent="0.3">
      <c r="A108">
        <v>320109</v>
      </c>
      <c r="B108" t="s">
        <v>109</v>
      </c>
      <c r="C108">
        <v>7</v>
      </c>
      <c r="D108" s="9">
        <v>4</v>
      </c>
      <c r="E108" s="9">
        <v>1</v>
      </c>
      <c r="F108" s="9"/>
      <c r="G108" s="2">
        <f>Tabla1[[#This Row],[ALMACEN]]+Tabla1[[#This Row],[SHOWROOM]]+Tabla1[[#This Row],[SEPARADO]]</f>
        <v>5</v>
      </c>
      <c r="H108" s="1">
        <f>VLOOKUP(Tabla1[[#This Row],[Código]], [2]!Tabla1[#Data], 8,)</f>
        <v>12</v>
      </c>
      <c r="I108" s="1">
        <f>Tabla1[[#This Row],[Precio unitario]]*Tabla1[[#This Row],[Conteo total]]</f>
        <v>60</v>
      </c>
    </row>
    <row r="109" spans="1:9" x14ac:dyDescent="0.3">
      <c r="A109">
        <v>320110</v>
      </c>
      <c r="B109" t="s">
        <v>110</v>
      </c>
      <c r="C109">
        <v>27</v>
      </c>
      <c r="D109" s="9">
        <v>15</v>
      </c>
      <c r="E109" s="9">
        <v>7</v>
      </c>
      <c r="F109" s="9"/>
      <c r="G109" s="2">
        <f>Tabla1[[#This Row],[ALMACEN]]+Tabla1[[#This Row],[SHOWROOM]]+Tabla1[[#This Row],[SEPARADO]]</f>
        <v>22</v>
      </c>
      <c r="H109" s="1">
        <f>VLOOKUP(Tabla1[[#This Row],[Código]], [2]!Tabla1[#Data], 8,)</f>
        <v>13</v>
      </c>
      <c r="I109" s="1">
        <f>Tabla1[[#This Row],[Precio unitario]]*Tabla1[[#This Row],[Conteo total]]</f>
        <v>286</v>
      </c>
    </row>
    <row r="110" spans="1:9" hidden="1" x14ac:dyDescent="0.3">
      <c r="A110">
        <v>320111</v>
      </c>
      <c r="B110" t="s">
        <v>111</v>
      </c>
      <c r="C110">
        <v>22</v>
      </c>
      <c r="D110" s="9"/>
      <c r="E110" s="9"/>
      <c r="F110" s="9"/>
      <c r="G110" s="2">
        <f>Tabla1[[#This Row],[ALMACEN]]+Tabla1[[#This Row],[SHOWROOM]]+Tabla1[[#This Row],[SEPARADO]]</f>
        <v>0</v>
      </c>
      <c r="H110" s="1">
        <f>VLOOKUP(Tabla1[[#This Row],[Código]], [2]!Tabla1[#Data], 8,)</f>
        <v>58</v>
      </c>
      <c r="I110" s="1">
        <f>Tabla1[[#This Row],[Precio unitario]]*Tabla1[[#This Row],[Conteo total]]</f>
        <v>0</v>
      </c>
    </row>
    <row r="111" spans="1:9" x14ac:dyDescent="0.3">
      <c r="A111">
        <v>320112</v>
      </c>
      <c r="B111" t="s">
        <v>112</v>
      </c>
      <c r="C111">
        <v>21</v>
      </c>
      <c r="D111" s="9">
        <v>15</v>
      </c>
      <c r="E111" s="9">
        <v>4</v>
      </c>
      <c r="F111" s="9">
        <v>1</v>
      </c>
      <c r="G111" s="2">
        <f>Tabla1[[#This Row],[ALMACEN]]+Tabla1[[#This Row],[SHOWROOM]]+Tabla1[[#This Row],[SEPARADO]]</f>
        <v>20</v>
      </c>
      <c r="H111" s="1">
        <f>VLOOKUP(Tabla1[[#This Row],[Código]], [2]!Tabla1[#Data], 8,)</f>
        <v>12</v>
      </c>
      <c r="I111" s="1">
        <f>Tabla1[[#This Row],[Precio unitario]]*Tabla1[[#This Row],[Conteo total]]</f>
        <v>240</v>
      </c>
    </row>
    <row r="112" spans="1:9" hidden="1" x14ac:dyDescent="0.3">
      <c r="A112">
        <v>320113</v>
      </c>
      <c r="B112" t="s">
        <v>113</v>
      </c>
      <c r="C112">
        <v>19</v>
      </c>
      <c r="D112" s="9"/>
      <c r="E112" s="9"/>
      <c r="F112" s="9"/>
      <c r="G112" s="2">
        <f>Tabla1[[#This Row],[ALMACEN]]+Tabla1[[#This Row],[SHOWROOM]]+Tabla1[[#This Row],[SEPARADO]]</f>
        <v>0</v>
      </c>
      <c r="H112" s="1">
        <f>VLOOKUP(Tabla1[[#This Row],[Código]], [2]!Tabla1[#Data], 8,)</f>
        <v>10</v>
      </c>
      <c r="I112" s="1">
        <f>Tabla1[[#This Row],[Precio unitario]]*Tabla1[[#This Row],[Conteo total]]</f>
        <v>0</v>
      </c>
    </row>
    <row r="113" spans="1:10" hidden="1" x14ac:dyDescent="0.3">
      <c r="A113">
        <v>320114</v>
      </c>
      <c r="B113" t="s">
        <v>114</v>
      </c>
      <c r="C113">
        <v>33</v>
      </c>
      <c r="D113" s="9"/>
      <c r="E113" s="9"/>
      <c r="F113" s="9"/>
      <c r="G113" s="2">
        <f>Tabla1[[#This Row],[ALMACEN]]+Tabla1[[#This Row],[SHOWROOM]]+Tabla1[[#This Row],[SEPARADO]]</f>
        <v>0</v>
      </c>
      <c r="H113" s="1">
        <f>VLOOKUP(Tabla1[[#This Row],[Código]], [2]!Tabla1[#Data], 8,)</f>
        <v>10</v>
      </c>
      <c r="I113" s="1">
        <f>Tabla1[[#This Row],[Precio unitario]]*Tabla1[[#This Row],[Conteo total]]</f>
        <v>0</v>
      </c>
    </row>
    <row r="114" spans="1:10" hidden="1" x14ac:dyDescent="0.3">
      <c r="A114">
        <v>320115</v>
      </c>
      <c r="B114" t="s">
        <v>115</v>
      </c>
      <c r="C114">
        <v>13</v>
      </c>
      <c r="D114" s="9"/>
      <c r="E114" s="9"/>
      <c r="F114" s="9"/>
      <c r="G114" s="2">
        <f>Tabla1[[#This Row],[ALMACEN]]+Tabla1[[#This Row],[SHOWROOM]]+Tabla1[[#This Row],[SEPARADO]]</f>
        <v>0</v>
      </c>
      <c r="H114" s="1">
        <f>VLOOKUP(Tabla1[[#This Row],[Código]], [2]!Tabla1[#Data], 8,)</f>
        <v>19</v>
      </c>
      <c r="I114" s="1">
        <f>Tabla1[[#This Row],[Precio unitario]]*Tabla1[[#This Row],[Conteo total]]</f>
        <v>0</v>
      </c>
    </row>
    <row r="115" spans="1:10" x14ac:dyDescent="0.3">
      <c r="A115">
        <v>320116</v>
      </c>
      <c r="B115" t="s">
        <v>116</v>
      </c>
      <c r="C115">
        <v>32</v>
      </c>
      <c r="D115" s="9">
        <v>6</v>
      </c>
      <c r="E115" s="9">
        <v>3</v>
      </c>
      <c r="F115" s="9"/>
      <c r="G115" s="2">
        <f>Tabla1[[#This Row],[ALMACEN]]+Tabla1[[#This Row],[SHOWROOM]]+Tabla1[[#This Row],[SEPARADO]]</f>
        <v>9</v>
      </c>
      <c r="H115" s="1">
        <f>VLOOKUP(Tabla1[[#This Row],[Código]], [2]!Tabla1[#Data], 8,)</f>
        <v>7</v>
      </c>
      <c r="I115" s="1">
        <f>Tabla1[[#This Row],[Precio unitario]]*Tabla1[[#This Row],[Conteo total]]</f>
        <v>63</v>
      </c>
    </row>
    <row r="116" spans="1:10" x14ac:dyDescent="0.3">
      <c r="A116">
        <v>320117</v>
      </c>
      <c r="B116" t="s">
        <v>117</v>
      </c>
      <c r="C116">
        <v>7</v>
      </c>
      <c r="D116" s="9">
        <v>4</v>
      </c>
      <c r="E116" s="9">
        <v>1</v>
      </c>
      <c r="F116" s="9"/>
      <c r="G116" s="2">
        <f>Tabla1[[#This Row],[ALMACEN]]+Tabla1[[#This Row],[SHOWROOM]]+Tabla1[[#This Row],[SEPARADO]]</f>
        <v>5</v>
      </c>
      <c r="H116" s="1">
        <f>VLOOKUP(Tabla1[[#This Row],[Código]], [2]!Tabla1[#Data], 8,)</f>
        <v>7</v>
      </c>
      <c r="I116" s="1">
        <f>Tabla1[[#This Row],[Precio unitario]]*Tabla1[[#This Row],[Conteo total]]</f>
        <v>35</v>
      </c>
    </row>
    <row r="117" spans="1:10" x14ac:dyDescent="0.3">
      <c r="A117">
        <v>320118</v>
      </c>
      <c r="B117" t="s">
        <v>118</v>
      </c>
      <c r="C117">
        <v>46</v>
      </c>
      <c r="D117" s="9">
        <v>40</v>
      </c>
      <c r="E117" s="9">
        <v>5</v>
      </c>
      <c r="F117" s="9"/>
      <c r="G117" s="2">
        <f>Tabla1[[#This Row],[ALMACEN]]+Tabla1[[#This Row],[SHOWROOM]]+Tabla1[[#This Row],[SEPARADO]]</f>
        <v>45</v>
      </c>
      <c r="H117" s="1">
        <f>VLOOKUP(Tabla1[[#This Row],[Código]], [2]!Tabla1[#Data], 8,)</f>
        <v>22</v>
      </c>
      <c r="I117" s="1">
        <f>Tabla1[[#This Row],[Precio unitario]]*Tabla1[[#This Row],[Conteo total]]</f>
        <v>990</v>
      </c>
    </row>
    <row r="118" spans="1:10" hidden="1" x14ac:dyDescent="0.3">
      <c r="A118">
        <v>320119</v>
      </c>
      <c r="B118" t="s">
        <v>119</v>
      </c>
      <c r="C118">
        <v>5</v>
      </c>
      <c r="D118" s="9"/>
      <c r="E118" s="9"/>
      <c r="F118" s="9"/>
      <c r="G118" s="2">
        <f>Tabla1[[#This Row],[ALMACEN]]+Tabla1[[#This Row],[SHOWROOM]]+Tabla1[[#This Row],[SEPARADO]]</f>
        <v>0</v>
      </c>
      <c r="H118" s="1">
        <f>VLOOKUP(Tabla1[[#This Row],[Código]], [2]!Tabla1[#Data], 8,)</f>
        <v>22</v>
      </c>
      <c r="I118" s="1">
        <f>Tabla1[[#This Row],[Precio unitario]]*Tabla1[[#This Row],[Conteo total]]</f>
        <v>0</v>
      </c>
    </row>
    <row r="119" spans="1:10" hidden="1" x14ac:dyDescent="0.3">
      <c r="A119">
        <v>320120</v>
      </c>
      <c r="B119" t="s">
        <v>120</v>
      </c>
      <c r="C119">
        <v>9</v>
      </c>
      <c r="D119" s="9"/>
      <c r="E119" s="9"/>
      <c r="F119" s="9"/>
      <c r="G119" s="2">
        <f>Tabla1[[#This Row],[ALMACEN]]+Tabla1[[#This Row],[SHOWROOM]]+Tabla1[[#This Row],[SEPARADO]]</f>
        <v>0</v>
      </c>
      <c r="H119" s="1">
        <f>VLOOKUP(Tabla1[[#This Row],[Código]], [2]!Tabla1[#Data], 8,)</f>
        <v>42</v>
      </c>
      <c r="I119" s="1">
        <f>Tabla1[[#This Row],[Precio unitario]]*Tabla1[[#This Row],[Conteo total]]</f>
        <v>0</v>
      </c>
    </row>
    <row r="120" spans="1:10" x14ac:dyDescent="0.3">
      <c r="A120">
        <v>320121</v>
      </c>
      <c r="B120" t="s">
        <v>121</v>
      </c>
      <c r="C120">
        <v>6</v>
      </c>
      <c r="D120" s="9"/>
      <c r="E120" s="9">
        <v>2</v>
      </c>
      <c r="F120" s="9"/>
      <c r="G120" s="2">
        <f>Tabla1[[#This Row],[ALMACEN]]+Tabla1[[#This Row],[SHOWROOM]]+Tabla1[[#This Row],[SEPARADO]]</f>
        <v>2</v>
      </c>
      <c r="H120" s="1">
        <f>VLOOKUP(Tabla1[[#This Row],[Código]], [2]!Tabla1[#Data], 8,)</f>
        <v>12</v>
      </c>
      <c r="I120" s="1">
        <f>Tabla1[[#This Row],[Precio unitario]]*Tabla1[[#This Row],[Conteo total]]</f>
        <v>24</v>
      </c>
    </row>
    <row r="121" spans="1:10" x14ac:dyDescent="0.3">
      <c r="A121">
        <v>320122</v>
      </c>
      <c r="B121" t="s">
        <v>122</v>
      </c>
      <c r="C121">
        <v>22</v>
      </c>
      <c r="D121" s="9">
        <v>20</v>
      </c>
      <c r="E121" s="9">
        <v>1</v>
      </c>
      <c r="F121" s="9">
        <v>1</v>
      </c>
      <c r="G121" s="2">
        <f>Tabla1[[#This Row],[ALMACEN]]+Tabla1[[#This Row],[SHOWROOM]]+Tabla1[[#This Row],[SEPARADO]]</f>
        <v>22</v>
      </c>
      <c r="H121" s="1">
        <f>VLOOKUP(Tabla1[[#This Row],[Código]], [2]!Tabla1[#Data], 8,)</f>
        <v>13</v>
      </c>
      <c r="I121" s="1">
        <f>Tabla1[[#This Row],[Precio unitario]]*Tabla1[[#This Row],[Conteo total]]</f>
        <v>286</v>
      </c>
    </row>
    <row r="122" spans="1:10" hidden="1" x14ac:dyDescent="0.3">
      <c r="A122">
        <v>320123</v>
      </c>
      <c r="B122" t="s">
        <v>123</v>
      </c>
      <c r="C122">
        <v>11</v>
      </c>
      <c r="D122" s="9"/>
      <c r="E122" s="9"/>
      <c r="F122" s="9"/>
      <c r="G122" s="2">
        <f>Tabla1[[#This Row],[ALMACEN]]+Tabla1[[#This Row],[SHOWROOM]]+Tabla1[[#This Row],[SEPARADO]]</f>
        <v>0</v>
      </c>
      <c r="H122" s="1">
        <f>VLOOKUP(Tabla1[[#This Row],[Código]], [2]!Tabla1[#Data], 8,)</f>
        <v>9</v>
      </c>
      <c r="I122" s="1">
        <f>Tabla1[[#This Row],[Precio unitario]]*Tabla1[[#This Row],[Conteo total]]</f>
        <v>0</v>
      </c>
    </row>
    <row r="123" spans="1:10" x14ac:dyDescent="0.3">
      <c r="A123">
        <v>320124</v>
      </c>
      <c r="B123" t="s">
        <v>124</v>
      </c>
      <c r="C123">
        <v>44</v>
      </c>
      <c r="D123" s="9"/>
      <c r="E123" s="9">
        <v>5</v>
      </c>
      <c r="F123" s="9">
        <v>1</v>
      </c>
      <c r="G123" s="2">
        <f>Tabla1[[#This Row],[ALMACEN]]+Tabla1[[#This Row],[SHOWROOM]]+Tabla1[[#This Row],[SEPARADO]]</f>
        <v>6</v>
      </c>
      <c r="H123" s="1">
        <f>VLOOKUP(Tabla1[[#This Row],[Código]], [2]!Tabla1[#Data], 8,)</f>
        <v>7</v>
      </c>
      <c r="I123" s="1">
        <f>Tabla1[[#This Row],[Precio unitario]]*Tabla1[[#This Row],[Conteo total]]</f>
        <v>42</v>
      </c>
      <c r="J123" t="s">
        <v>447</v>
      </c>
    </row>
    <row r="124" spans="1:10" x14ac:dyDescent="0.3">
      <c r="A124">
        <v>320125</v>
      </c>
      <c r="B124" t="s">
        <v>125</v>
      </c>
      <c r="C124">
        <v>8</v>
      </c>
      <c r="D124" s="9">
        <v>2</v>
      </c>
      <c r="E124" s="9"/>
      <c r="F124" s="9"/>
      <c r="G124" s="2">
        <f>Tabla1[[#This Row],[ALMACEN]]+Tabla1[[#This Row],[SHOWROOM]]+Tabla1[[#This Row],[SEPARADO]]</f>
        <v>2</v>
      </c>
      <c r="H124" s="1">
        <f>VLOOKUP(Tabla1[[#This Row],[Código]], [2]!Tabla1[#Data], 8,)</f>
        <v>16</v>
      </c>
      <c r="I124" s="1">
        <f>Tabla1[[#This Row],[Precio unitario]]*Tabla1[[#This Row],[Conteo total]]</f>
        <v>32</v>
      </c>
    </row>
    <row r="125" spans="1:10" x14ac:dyDescent="0.3">
      <c r="A125">
        <v>320126</v>
      </c>
      <c r="B125" t="s">
        <v>126</v>
      </c>
      <c r="C125">
        <v>51</v>
      </c>
      <c r="D125" s="9">
        <v>44</v>
      </c>
      <c r="E125" s="9"/>
      <c r="F125" s="9"/>
      <c r="G125" s="2">
        <f>Tabla1[[#This Row],[ALMACEN]]+Tabla1[[#This Row],[SHOWROOM]]+Tabla1[[#This Row],[SEPARADO]]</f>
        <v>44</v>
      </c>
      <c r="H125" s="1">
        <f>VLOOKUP(Tabla1[[#This Row],[Código]], [2]!Tabla1[#Data], 8,)</f>
        <v>23</v>
      </c>
      <c r="I125" s="1">
        <f>Tabla1[[#This Row],[Precio unitario]]*Tabla1[[#This Row],[Conteo total]]</f>
        <v>1012</v>
      </c>
    </row>
    <row r="126" spans="1:10" x14ac:dyDescent="0.3">
      <c r="A126">
        <v>320127</v>
      </c>
      <c r="B126" t="s">
        <v>127</v>
      </c>
      <c r="C126">
        <v>15</v>
      </c>
      <c r="D126" s="9">
        <v>13</v>
      </c>
      <c r="E126" s="9"/>
      <c r="F126" s="9"/>
      <c r="G126" s="2">
        <f>Tabla1[[#This Row],[ALMACEN]]+Tabla1[[#This Row],[SHOWROOM]]+Tabla1[[#This Row],[SEPARADO]]</f>
        <v>13</v>
      </c>
      <c r="H126" s="1">
        <f>VLOOKUP(Tabla1[[#This Row],[Código]], [2]!Tabla1[#Data], 8,)</f>
        <v>23</v>
      </c>
      <c r="I126" s="1">
        <f>Tabla1[[#This Row],[Precio unitario]]*Tabla1[[#This Row],[Conteo total]]</f>
        <v>299</v>
      </c>
    </row>
    <row r="127" spans="1:10" x14ac:dyDescent="0.3">
      <c r="A127">
        <v>320128</v>
      </c>
      <c r="B127" t="s">
        <v>128</v>
      </c>
      <c r="C127">
        <v>36</v>
      </c>
      <c r="D127" s="9">
        <v>33</v>
      </c>
      <c r="E127" s="9"/>
      <c r="F127" s="9"/>
      <c r="G127" s="2">
        <f>Tabla1[[#This Row],[ALMACEN]]+Tabla1[[#This Row],[SHOWROOM]]+Tabla1[[#This Row],[SEPARADO]]</f>
        <v>33</v>
      </c>
      <c r="H127" s="1">
        <f>VLOOKUP(Tabla1[[#This Row],[Código]], [2]!Tabla1[#Data], 8,)</f>
        <v>23</v>
      </c>
      <c r="I127" s="1">
        <f>Tabla1[[#This Row],[Precio unitario]]*Tabla1[[#This Row],[Conteo total]]</f>
        <v>759</v>
      </c>
    </row>
    <row r="128" spans="1:10" hidden="1" x14ac:dyDescent="0.3">
      <c r="A128">
        <v>320129</v>
      </c>
      <c r="B128" t="s">
        <v>129</v>
      </c>
      <c r="C128">
        <v>1</v>
      </c>
      <c r="D128" s="9"/>
      <c r="E128" s="9"/>
      <c r="F128" s="9"/>
      <c r="G128" s="2">
        <f>Tabla1[[#This Row],[ALMACEN]]+Tabla1[[#This Row],[SHOWROOM]]+Tabla1[[#This Row],[SEPARADO]]</f>
        <v>0</v>
      </c>
      <c r="H128" s="1">
        <f>VLOOKUP(Tabla1[[#This Row],[Código]], [2]!Tabla1[#Data], 8,)</f>
        <v>13</v>
      </c>
      <c r="I128" s="1">
        <f>Tabla1[[#This Row],[Precio unitario]]*Tabla1[[#This Row],[Conteo total]]</f>
        <v>0</v>
      </c>
    </row>
    <row r="129" spans="1:10" x14ac:dyDescent="0.3">
      <c r="A129">
        <v>320130</v>
      </c>
      <c r="B129" t="s">
        <v>130</v>
      </c>
      <c r="C129">
        <v>25</v>
      </c>
      <c r="D129" s="9">
        <v>0</v>
      </c>
      <c r="E129" s="9">
        <v>0</v>
      </c>
      <c r="F129" s="9">
        <v>1</v>
      </c>
      <c r="G129" s="2">
        <f>Tabla1[[#This Row],[ALMACEN]]+Tabla1[[#This Row],[SHOWROOM]]+Tabla1[[#This Row],[SEPARADO]]</f>
        <v>1</v>
      </c>
      <c r="H129" s="1">
        <f>VLOOKUP(Tabla1[[#This Row],[Código]], [2]!Tabla1[#Data], 8,)</f>
        <v>12</v>
      </c>
      <c r="I129" s="1">
        <f>Tabla1[[#This Row],[Precio unitario]]*Tabla1[[#This Row],[Conteo total]]</f>
        <v>12</v>
      </c>
    </row>
    <row r="130" spans="1:10" x14ac:dyDescent="0.3">
      <c r="A130">
        <v>320131</v>
      </c>
      <c r="B130" t="s">
        <v>131</v>
      </c>
      <c r="C130">
        <v>53</v>
      </c>
      <c r="D130" s="9">
        <f>16+29</f>
        <v>45</v>
      </c>
      <c r="E130" s="9"/>
      <c r="F130" s="9"/>
      <c r="G130" s="2">
        <f>Tabla1[[#This Row],[ALMACEN]]+Tabla1[[#This Row],[SHOWROOM]]+Tabla1[[#This Row],[SEPARADO]]</f>
        <v>45</v>
      </c>
      <c r="H130" s="1">
        <f>VLOOKUP(Tabla1[[#This Row],[Código]], [2]!Tabla1[#Data], 8,)</f>
        <v>19</v>
      </c>
      <c r="I130" s="1">
        <f>Tabla1[[#This Row],[Precio unitario]]*Tabla1[[#This Row],[Conteo total]]</f>
        <v>855</v>
      </c>
    </row>
    <row r="131" spans="1:10" hidden="1" x14ac:dyDescent="0.3">
      <c r="A131">
        <v>320132</v>
      </c>
      <c r="B131" t="s">
        <v>132</v>
      </c>
      <c r="C131">
        <v>19</v>
      </c>
      <c r="D131" s="9"/>
      <c r="E131" s="9"/>
      <c r="F131" s="9"/>
      <c r="G131" s="2">
        <f>Tabla1[[#This Row],[ALMACEN]]+Tabla1[[#This Row],[SHOWROOM]]+Tabla1[[#This Row],[SEPARADO]]</f>
        <v>0</v>
      </c>
      <c r="H131" s="1">
        <f>VLOOKUP(Tabla1[[#This Row],[Código]], [2]!Tabla1[#Data], 8,)</f>
        <v>19</v>
      </c>
      <c r="I131" s="1">
        <f>Tabla1[[#This Row],[Precio unitario]]*Tabla1[[#This Row],[Conteo total]]</f>
        <v>0</v>
      </c>
    </row>
    <row r="132" spans="1:10" x14ac:dyDescent="0.3">
      <c r="A132">
        <v>320133</v>
      </c>
      <c r="B132" t="s">
        <v>133</v>
      </c>
      <c r="C132">
        <v>13</v>
      </c>
      <c r="D132" s="9">
        <v>6</v>
      </c>
      <c r="E132" s="9">
        <v>2</v>
      </c>
      <c r="F132" s="9"/>
      <c r="G132" s="2">
        <f>Tabla1[[#This Row],[ALMACEN]]+Tabla1[[#This Row],[SHOWROOM]]+Tabla1[[#This Row],[SEPARADO]]</f>
        <v>8</v>
      </c>
      <c r="H132" s="1">
        <f>VLOOKUP(Tabla1[[#This Row],[Código]], [2]!Tabla1[#Data], 8,)</f>
        <v>30</v>
      </c>
      <c r="I132" s="1">
        <f>Tabla1[[#This Row],[Precio unitario]]*Tabla1[[#This Row],[Conteo total]]</f>
        <v>240</v>
      </c>
    </row>
    <row r="133" spans="1:10" hidden="1" x14ac:dyDescent="0.3">
      <c r="A133">
        <v>320134</v>
      </c>
      <c r="B133" t="s">
        <v>134</v>
      </c>
      <c r="C133">
        <v>28</v>
      </c>
      <c r="D133" s="9"/>
      <c r="E133" s="9"/>
      <c r="F133" s="9"/>
      <c r="G133" s="2">
        <f>Tabla1[[#This Row],[ALMACEN]]+Tabla1[[#This Row],[SHOWROOM]]+Tabla1[[#This Row],[SEPARADO]]</f>
        <v>0</v>
      </c>
      <c r="H133" s="1">
        <f>VLOOKUP(Tabla1[[#This Row],[Código]], [2]!Tabla1[#Data], 8,)</f>
        <v>17</v>
      </c>
      <c r="I133" s="1">
        <f>Tabla1[[#This Row],[Precio unitario]]*Tabla1[[#This Row],[Conteo total]]</f>
        <v>0</v>
      </c>
    </row>
    <row r="134" spans="1:10" hidden="1" x14ac:dyDescent="0.3">
      <c r="A134">
        <v>320135</v>
      </c>
      <c r="B134" t="s">
        <v>135</v>
      </c>
      <c r="C134">
        <v>8</v>
      </c>
      <c r="D134" s="9"/>
      <c r="E134" s="9"/>
      <c r="F134" s="9"/>
      <c r="G134" s="2">
        <f>Tabla1[[#This Row],[ALMACEN]]+Tabla1[[#This Row],[SHOWROOM]]+Tabla1[[#This Row],[SEPARADO]]</f>
        <v>0</v>
      </c>
      <c r="H134" s="1">
        <f>VLOOKUP(Tabla1[[#This Row],[Código]], [2]!Tabla1[#Data], 8,)</f>
        <v>16</v>
      </c>
      <c r="I134" s="1">
        <f>Tabla1[[#This Row],[Precio unitario]]*Tabla1[[#This Row],[Conteo total]]</f>
        <v>0</v>
      </c>
    </row>
    <row r="135" spans="1:10" x14ac:dyDescent="0.3">
      <c r="A135">
        <v>320136</v>
      </c>
      <c r="B135" t="s">
        <v>136</v>
      </c>
      <c r="C135">
        <v>61</v>
      </c>
      <c r="D135" s="9">
        <v>4</v>
      </c>
      <c r="E135" s="9">
        <v>3</v>
      </c>
      <c r="F135" s="9"/>
      <c r="G135" s="2">
        <f>Tabla1[[#This Row],[ALMACEN]]+Tabla1[[#This Row],[SHOWROOM]]+Tabla1[[#This Row],[SEPARADO]]</f>
        <v>7</v>
      </c>
      <c r="H135" s="1">
        <f>VLOOKUP(Tabla1[[#This Row],[Código]], [2]!Tabla1[#Data], 8,)</f>
        <v>35</v>
      </c>
      <c r="I135" s="1">
        <f>Tabla1[[#This Row],[Precio unitario]]*Tabla1[[#This Row],[Conteo total]]</f>
        <v>245</v>
      </c>
    </row>
    <row r="136" spans="1:10" x14ac:dyDescent="0.3">
      <c r="A136">
        <v>320137</v>
      </c>
      <c r="B136" t="s">
        <v>137</v>
      </c>
      <c r="C136">
        <v>16</v>
      </c>
      <c r="D136" s="9">
        <v>9</v>
      </c>
      <c r="E136" s="9"/>
      <c r="F136" s="9"/>
      <c r="G136" s="2">
        <f>Tabla1[[#This Row],[ALMACEN]]+Tabla1[[#This Row],[SHOWROOM]]+Tabla1[[#This Row],[SEPARADO]]</f>
        <v>9</v>
      </c>
      <c r="H136" s="1">
        <f>VLOOKUP(Tabla1[[#This Row],[Código]], [2]!Tabla1[#Data], 8,)</f>
        <v>45</v>
      </c>
      <c r="I136" s="1">
        <f>Tabla1[[#This Row],[Precio unitario]]*Tabla1[[#This Row],[Conteo total]]</f>
        <v>405</v>
      </c>
      <c r="J136" t="s">
        <v>334</v>
      </c>
    </row>
    <row r="137" spans="1:10" x14ac:dyDescent="0.3">
      <c r="A137">
        <v>320138</v>
      </c>
      <c r="B137" t="s">
        <v>138</v>
      </c>
      <c r="C137">
        <v>1</v>
      </c>
      <c r="D137" s="9"/>
      <c r="E137" s="9">
        <v>1</v>
      </c>
      <c r="F137" s="9"/>
      <c r="G137" s="2">
        <f>Tabla1[[#This Row],[ALMACEN]]+Tabla1[[#This Row],[SHOWROOM]]+Tabla1[[#This Row],[SEPARADO]]</f>
        <v>1</v>
      </c>
      <c r="H137" s="1">
        <f>VLOOKUP(Tabla1[[#This Row],[Código]], [2]!Tabla1[#Data], 8,)</f>
        <v>8</v>
      </c>
      <c r="I137" s="1">
        <f>Tabla1[[#This Row],[Precio unitario]]*Tabla1[[#This Row],[Conteo total]]</f>
        <v>8</v>
      </c>
    </row>
    <row r="138" spans="1:10" x14ac:dyDescent="0.3">
      <c r="A138">
        <v>320139</v>
      </c>
      <c r="B138" t="s">
        <v>139</v>
      </c>
      <c r="C138">
        <v>26</v>
      </c>
      <c r="D138" s="9">
        <v>20</v>
      </c>
      <c r="E138" s="9">
        <v>1</v>
      </c>
      <c r="F138" s="9"/>
      <c r="G138" s="2">
        <f>Tabla1[[#This Row],[ALMACEN]]+Tabla1[[#This Row],[SHOWROOM]]+Tabla1[[#This Row],[SEPARADO]]</f>
        <v>21</v>
      </c>
      <c r="H138" s="1">
        <f>VLOOKUP(Tabla1[[#This Row],[Código]], [2]!Tabla1[#Data], 8,)</f>
        <v>22</v>
      </c>
      <c r="I138" s="1">
        <f>Tabla1[[#This Row],[Precio unitario]]*Tabla1[[#This Row],[Conteo total]]</f>
        <v>462</v>
      </c>
    </row>
    <row r="139" spans="1:10" x14ac:dyDescent="0.3">
      <c r="A139">
        <v>320140</v>
      </c>
      <c r="B139" t="s">
        <v>140</v>
      </c>
      <c r="C139">
        <v>8</v>
      </c>
      <c r="D139" s="9"/>
      <c r="E139" s="9">
        <v>2</v>
      </c>
      <c r="F139" s="9"/>
      <c r="G139" s="2">
        <f>Tabla1[[#This Row],[ALMACEN]]+Tabla1[[#This Row],[SHOWROOM]]+Tabla1[[#This Row],[SEPARADO]]</f>
        <v>2</v>
      </c>
      <c r="H139" s="1">
        <f>VLOOKUP(Tabla1[[#This Row],[Código]], [2]!Tabla1[#Data], 8,)</f>
        <v>22</v>
      </c>
      <c r="I139" s="1">
        <f>Tabla1[[#This Row],[Precio unitario]]*Tabla1[[#This Row],[Conteo total]]</f>
        <v>44</v>
      </c>
    </row>
    <row r="140" spans="1:10" x14ac:dyDescent="0.3">
      <c r="A140">
        <v>320141</v>
      </c>
      <c r="B140" t="s">
        <v>141</v>
      </c>
      <c r="C140">
        <v>3</v>
      </c>
      <c r="D140" s="9">
        <v>1</v>
      </c>
      <c r="E140" s="9">
        <v>1</v>
      </c>
      <c r="F140" s="9"/>
      <c r="G140" s="2">
        <f>Tabla1[[#This Row],[ALMACEN]]+Tabla1[[#This Row],[SHOWROOM]]+Tabla1[[#This Row],[SEPARADO]]</f>
        <v>2</v>
      </c>
      <c r="H140" s="1">
        <f>VLOOKUP(Tabla1[[#This Row],[Código]], [2]!Tabla1[#Data], 8,)</f>
        <v>193</v>
      </c>
      <c r="I140" s="1">
        <f>Tabla1[[#This Row],[Precio unitario]]*Tabla1[[#This Row],[Conteo total]]</f>
        <v>386</v>
      </c>
    </row>
    <row r="141" spans="1:10" x14ac:dyDescent="0.3">
      <c r="A141">
        <v>320142</v>
      </c>
      <c r="B141" t="s">
        <v>142</v>
      </c>
      <c r="C141">
        <v>6</v>
      </c>
      <c r="D141" s="9"/>
      <c r="E141" s="9">
        <v>1</v>
      </c>
      <c r="F141" s="9"/>
      <c r="G141" s="2">
        <f>Tabla1[[#This Row],[ALMACEN]]+Tabla1[[#This Row],[SHOWROOM]]+Tabla1[[#This Row],[SEPARADO]]</f>
        <v>1</v>
      </c>
      <c r="H141" s="1">
        <f>VLOOKUP(Tabla1[[#This Row],[Código]], [2]!Tabla1[#Data], 8,)</f>
        <v>15</v>
      </c>
      <c r="I141" s="1">
        <f>Tabla1[[#This Row],[Precio unitario]]*Tabla1[[#This Row],[Conteo total]]</f>
        <v>15</v>
      </c>
    </row>
    <row r="142" spans="1:10" x14ac:dyDescent="0.3">
      <c r="A142">
        <v>320143</v>
      </c>
      <c r="B142" t="s">
        <v>143</v>
      </c>
      <c r="C142">
        <v>28</v>
      </c>
      <c r="D142" s="9">
        <v>13</v>
      </c>
      <c r="E142" s="9">
        <v>1</v>
      </c>
      <c r="F142" s="9">
        <v>1</v>
      </c>
      <c r="G142" s="2">
        <f>Tabla1[[#This Row],[ALMACEN]]+Tabla1[[#This Row],[SHOWROOM]]+Tabla1[[#This Row],[SEPARADO]]</f>
        <v>15</v>
      </c>
      <c r="H142" s="1">
        <f>VLOOKUP(Tabla1[[#This Row],[Código]], [2]!Tabla1[#Data], 8,)</f>
        <v>12</v>
      </c>
      <c r="I142" s="1">
        <f>Tabla1[[#This Row],[Precio unitario]]*Tabla1[[#This Row],[Conteo total]]</f>
        <v>180</v>
      </c>
    </row>
    <row r="143" spans="1:10" x14ac:dyDescent="0.3">
      <c r="A143">
        <v>320144</v>
      </c>
      <c r="B143" t="s">
        <v>144</v>
      </c>
      <c r="C143">
        <v>49</v>
      </c>
      <c r="D143" s="9">
        <v>36</v>
      </c>
      <c r="E143" s="9">
        <v>2</v>
      </c>
      <c r="F143" s="9"/>
      <c r="G143" s="2">
        <f>Tabla1[[#This Row],[ALMACEN]]+Tabla1[[#This Row],[SHOWROOM]]+Tabla1[[#This Row],[SEPARADO]]</f>
        <v>38</v>
      </c>
      <c r="H143" s="1">
        <f>VLOOKUP(Tabla1[[#This Row],[Código]], [2]!Tabla1[#Data], 8,)</f>
        <v>18</v>
      </c>
      <c r="I143" s="1">
        <f>Tabla1[[#This Row],[Precio unitario]]*Tabla1[[#This Row],[Conteo total]]</f>
        <v>684</v>
      </c>
    </row>
    <row r="144" spans="1:10" x14ac:dyDescent="0.3">
      <c r="A144">
        <v>320145</v>
      </c>
      <c r="B144" t="s">
        <v>145</v>
      </c>
      <c r="C144">
        <v>3</v>
      </c>
      <c r="D144" s="9"/>
      <c r="E144" s="9">
        <v>1</v>
      </c>
      <c r="F144" s="9"/>
      <c r="G144" s="2">
        <f>Tabla1[[#This Row],[ALMACEN]]+Tabla1[[#This Row],[SHOWROOM]]+Tabla1[[#This Row],[SEPARADO]]</f>
        <v>1</v>
      </c>
      <c r="H144" s="1">
        <f>VLOOKUP(Tabla1[[#This Row],[Código]], [2]!Tabla1[#Data], 8,)</f>
        <v>8</v>
      </c>
      <c r="I144" s="1">
        <f>Tabla1[[#This Row],[Precio unitario]]*Tabla1[[#This Row],[Conteo total]]</f>
        <v>8</v>
      </c>
    </row>
    <row r="145" spans="1:10" x14ac:dyDescent="0.3">
      <c r="A145">
        <v>320147</v>
      </c>
      <c r="B145" t="s">
        <v>146</v>
      </c>
      <c r="C145">
        <v>13</v>
      </c>
      <c r="D145" s="9">
        <v>6</v>
      </c>
      <c r="E145" s="9">
        <v>3</v>
      </c>
      <c r="F145" s="9"/>
      <c r="G145" s="2">
        <f>Tabla1[[#This Row],[ALMACEN]]+Tabla1[[#This Row],[SHOWROOM]]+Tabla1[[#This Row],[SEPARADO]]</f>
        <v>9</v>
      </c>
      <c r="H145" s="1">
        <f>VLOOKUP(Tabla1[[#This Row],[Código]], [2]!Tabla1[#Data], 8,)</f>
        <v>16</v>
      </c>
      <c r="I145" s="1">
        <f>Tabla1[[#This Row],[Precio unitario]]*Tabla1[[#This Row],[Conteo total]]</f>
        <v>144</v>
      </c>
    </row>
    <row r="146" spans="1:10" x14ac:dyDescent="0.3">
      <c r="A146">
        <v>320148</v>
      </c>
      <c r="B146" t="s">
        <v>147</v>
      </c>
      <c r="C146">
        <v>31</v>
      </c>
      <c r="D146" s="9">
        <v>18</v>
      </c>
      <c r="E146" s="9">
        <v>2</v>
      </c>
      <c r="F146" s="9"/>
      <c r="G146" s="2">
        <f>Tabla1[[#This Row],[ALMACEN]]+Tabla1[[#This Row],[SHOWROOM]]+Tabla1[[#This Row],[SEPARADO]]</f>
        <v>20</v>
      </c>
      <c r="H146" s="1">
        <f>VLOOKUP(Tabla1[[#This Row],[Código]], [2]!Tabla1[#Data], 8,)</f>
        <v>10</v>
      </c>
      <c r="I146" s="1">
        <f>Tabla1[[#This Row],[Precio unitario]]*Tabla1[[#This Row],[Conteo total]]</f>
        <v>200</v>
      </c>
    </row>
    <row r="147" spans="1:10" hidden="1" x14ac:dyDescent="0.3">
      <c r="A147">
        <v>320149</v>
      </c>
      <c r="B147" t="s">
        <v>148</v>
      </c>
      <c r="C147">
        <v>24</v>
      </c>
      <c r="D147" s="9"/>
      <c r="E147" s="9"/>
      <c r="F147" s="9"/>
      <c r="G147" s="2">
        <f>Tabla1[[#This Row],[ALMACEN]]+Tabla1[[#This Row],[SHOWROOM]]+Tabla1[[#This Row],[SEPARADO]]</f>
        <v>0</v>
      </c>
      <c r="H147" s="1">
        <f>VLOOKUP(Tabla1[[#This Row],[Código]], [2]!Tabla1[#Data], 8,)</f>
        <v>7</v>
      </c>
      <c r="I147" s="1">
        <f>Tabla1[[#This Row],[Precio unitario]]*Tabla1[[#This Row],[Conteo total]]</f>
        <v>0</v>
      </c>
    </row>
    <row r="148" spans="1:10" hidden="1" x14ac:dyDescent="0.3">
      <c r="A148">
        <v>320150</v>
      </c>
      <c r="B148" t="s">
        <v>149</v>
      </c>
      <c r="C148">
        <v>11</v>
      </c>
      <c r="D148" s="9"/>
      <c r="E148" s="9"/>
      <c r="F148" s="9"/>
      <c r="G148" s="2">
        <f>Tabla1[[#This Row],[ALMACEN]]+Tabla1[[#This Row],[SHOWROOM]]+Tabla1[[#This Row],[SEPARADO]]</f>
        <v>0</v>
      </c>
      <c r="H148" s="1">
        <f>VLOOKUP(Tabla1[[#This Row],[Código]], [2]!Tabla1[#Data], 8,)</f>
        <v>33</v>
      </c>
      <c r="I148" s="1">
        <f>Tabla1[[#This Row],[Precio unitario]]*Tabla1[[#This Row],[Conteo total]]</f>
        <v>0</v>
      </c>
    </row>
    <row r="149" spans="1:10" x14ac:dyDescent="0.3">
      <c r="A149">
        <v>320151</v>
      </c>
      <c r="B149" t="s">
        <v>150</v>
      </c>
      <c r="C149">
        <v>33</v>
      </c>
      <c r="D149" s="9">
        <v>5</v>
      </c>
      <c r="E149" s="9">
        <v>1</v>
      </c>
      <c r="F149" s="9"/>
      <c r="G149" s="2">
        <f>Tabla1[[#This Row],[ALMACEN]]+Tabla1[[#This Row],[SHOWROOM]]+Tabla1[[#This Row],[SEPARADO]]</f>
        <v>6</v>
      </c>
      <c r="H149" s="1">
        <f>VLOOKUP(Tabla1[[#This Row],[Código]], [2]!Tabla1[#Data], 8,)</f>
        <v>15</v>
      </c>
      <c r="I149" s="1">
        <f>Tabla1[[#This Row],[Precio unitario]]*Tabla1[[#This Row],[Conteo total]]</f>
        <v>90</v>
      </c>
      <c r="J149" t="s">
        <v>335</v>
      </c>
    </row>
    <row r="150" spans="1:10" hidden="1" x14ac:dyDescent="0.3">
      <c r="A150">
        <v>320152</v>
      </c>
      <c r="B150" t="s">
        <v>151</v>
      </c>
      <c r="C150">
        <v>3</v>
      </c>
      <c r="D150" s="9"/>
      <c r="E150" s="9"/>
      <c r="F150" s="9"/>
      <c r="G150" s="2">
        <f>Tabla1[[#This Row],[ALMACEN]]+Tabla1[[#This Row],[SHOWROOM]]+Tabla1[[#This Row],[SEPARADO]]</f>
        <v>0</v>
      </c>
      <c r="H150" s="1">
        <f>VLOOKUP(Tabla1[[#This Row],[Código]], [2]!Tabla1[#Data], 8,)</f>
        <v>15</v>
      </c>
      <c r="I150" s="1">
        <f>Tabla1[[#This Row],[Precio unitario]]*Tabla1[[#This Row],[Conteo total]]</f>
        <v>0</v>
      </c>
    </row>
    <row r="151" spans="1:10" hidden="1" x14ac:dyDescent="0.3">
      <c r="A151">
        <v>320153</v>
      </c>
      <c r="B151" t="s">
        <v>152</v>
      </c>
      <c r="C151">
        <v>14</v>
      </c>
      <c r="D151" s="9"/>
      <c r="E151" s="9"/>
      <c r="F151" s="9"/>
      <c r="G151" s="2">
        <f>Tabla1[[#This Row],[ALMACEN]]+Tabla1[[#This Row],[SHOWROOM]]+Tabla1[[#This Row],[SEPARADO]]</f>
        <v>0</v>
      </c>
      <c r="H151" s="1">
        <f>VLOOKUP(Tabla1[[#This Row],[Código]], [2]!Tabla1[#Data], 8,)</f>
        <v>16</v>
      </c>
      <c r="I151" s="1">
        <f>Tabla1[[#This Row],[Precio unitario]]*Tabla1[[#This Row],[Conteo total]]</f>
        <v>0</v>
      </c>
    </row>
    <row r="152" spans="1:10" x14ac:dyDescent="0.3">
      <c r="A152">
        <v>320154</v>
      </c>
      <c r="B152" t="s">
        <v>153</v>
      </c>
      <c r="C152">
        <v>11</v>
      </c>
      <c r="D152" s="9"/>
      <c r="E152" s="9">
        <v>4</v>
      </c>
      <c r="F152" s="9">
        <v>1</v>
      </c>
      <c r="G152" s="2">
        <f>Tabla1[[#This Row],[ALMACEN]]+Tabla1[[#This Row],[SHOWROOM]]+Tabla1[[#This Row],[SEPARADO]]</f>
        <v>5</v>
      </c>
      <c r="H152" s="1">
        <f>VLOOKUP(Tabla1[[#This Row],[Código]], [2]!Tabla1[#Data], 8,)</f>
        <v>9</v>
      </c>
      <c r="I152" s="1">
        <f>Tabla1[[#This Row],[Precio unitario]]*Tabla1[[#This Row],[Conteo total]]</f>
        <v>45</v>
      </c>
    </row>
    <row r="153" spans="1:10" x14ac:dyDescent="0.3">
      <c r="A153">
        <v>320155</v>
      </c>
      <c r="B153" t="s">
        <v>154</v>
      </c>
      <c r="C153">
        <v>30</v>
      </c>
      <c r="D153" s="9">
        <v>28</v>
      </c>
      <c r="E153" s="9">
        <v>10</v>
      </c>
      <c r="F153" s="9">
        <v>1</v>
      </c>
      <c r="G153" s="2">
        <f>Tabla1[[#This Row],[ALMACEN]]+Tabla1[[#This Row],[SHOWROOM]]+Tabla1[[#This Row],[SEPARADO]]</f>
        <v>39</v>
      </c>
      <c r="H153" s="1">
        <f>VLOOKUP(Tabla1[[#This Row],[Código]], [2]!Tabla1[#Data], 8,)</f>
        <v>9</v>
      </c>
      <c r="I153" s="1">
        <f>Tabla1[[#This Row],[Precio unitario]]*Tabla1[[#This Row],[Conteo total]]</f>
        <v>351</v>
      </c>
    </row>
    <row r="154" spans="1:10" hidden="1" x14ac:dyDescent="0.3">
      <c r="A154">
        <v>320156</v>
      </c>
      <c r="B154" t="s">
        <v>155</v>
      </c>
      <c r="C154">
        <v>6</v>
      </c>
      <c r="D154" s="9"/>
      <c r="E154" s="9"/>
      <c r="F154" s="9"/>
      <c r="G154" s="2">
        <f>Tabla1[[#This Row],[ALMACEN]]+Tabla1[[#This Row],[SHOWROOM]]+Tabla1[[#This Row],[SEPARADO]]</f>
        <v>0</v>
      </c>
      <c r="H154" s="1">
        <f>VLOOKUP(Tabla1[[#This Row],[Código]], [2]!Tabla1[#Data], 8,)</f>
        <v>35</v>
      </c>
      <c r="I154" s="1">
        <f>Tabla1[[#This Row],[Precio unitario]]*Tabla1[[#This Row],[Conteo total]]</f>
        <v>0</v>
      </c>
    </row>
    <row r="155" spans="1:10" hidden="1" x14ac:dyDescent="0.3">
      <c r="A155">
        <v>320157</v>
      </c>
      <c r="B155" t="s">
        <v>156</v>
      </c>
      <c r="C155">
        <v>17</v>
      </c>
      <c r="D155" s="9"/>
      <c r="E155" s="9"/>
      <c r="F155" s="9"/>
      <c r="G155" s="2">
        <f>Tabla1[[#This Row],[ALMACEN]]+Tabla1[[#This Row],[SHOWROOM]]+Tabla1[[#This Row],[SEPARADO]]</f>
        <v>0</v>
      </c>
      <c r="H155" s="1">
        <f>VLOOKUP(Tabla1[[#This Row],[Código]], [2]!Tabla1[#Data], 8,)</f>
        <v>48</v>
      </c>
      <c r="I155" s="1">
        <f>Tabla1[[#This Row],[Precio unitario]]*Tabla1[[#This Row],[Conteo total]]</f>
        <v>0</v>
      </c>
    </row>
    <row r="156" spans="1:10" x14ac:dyDescent="0.3">
      <c r="A156">
        <v>320158</v>
      </c>
      <c r="B156" t="s">
        <v>157</v>
      </c>
      <c r="C156">
        <v>42</v>
      </c>
      <c r="D156" s="9">
        <v>25</v>
      </c>
      <c r="E156" s="9">
        <v>2</v>
      </c>
      <c r="F156" s="9">
        <v>1</v>
      </c>
      <c r="G156" s="2">
        <f>Tabla1[[#This Row],[ALMACEN]]+Tabla1[[#This Row],[SHOWROOM]]+Tabla1[[#This Row],[SEPARADO]]</f>
        <v>28</v>
      </c>
      <c r="H156" s="1">
        <f>VLOOKUP(Tabla1[[#This Row],[Código]], [2]!Tabla1[#Data], 8,)</f>
        <v>18</v>
      </c>
      <c r="I156" s="1">
        <f>Tabla1[[#This Row],[Precio unitario]]*Tabla1[[#This Row],[Conteo total]]</f>
        <v>504</v>
      </c>
    </row>
    <row r="157" spans="1:10" x14ac:dyDescent="0.3">
      <c r="A157">
        <v>320159</v>
      </c>
      <c r="B157" t="s">
        <v>158</v>
      </c>
      <c r="C157">
        <v>60</v>
      </c>
      <c r="D157" s="9">
        <v>47</v>
      </c>
      <c r="E157" s="9">
        <v>1</v>
      </c>
      <c r="F157" s="9">
        <v>1</v>
      </c>
      <c r="G157" s="2">
        <f>Tabla1[[#This Row],[ALMACEN]]+Tabla1[[#This Row],[SHOWROOM]]+Tabla1[[#This Row],[SEPARADO]]</f>
        <v>49</v>
      </c>
      <c r="H157" s="1">
        <f>VLOOKUP(Tabla1[[#This Row],[Código]], [2]!Tabla1[#Data], 8,)</f>
        <v>18</v>
      </c>
      <c r="I157" s="1">
        <f>Tabla1[[#This Row],[Precio unitario]]*Tabla1[[#This Row],[Conteo total]]</f>
        <v>882</v>
      </c>
    </row>
    <row r="158" spans="1:10" x14ac:dyDescent="0.3">
      <c r="A158">
        <v>320160</v>
      </c>
      <c r="B158" t="s">
        <v>159</v>
      </c>
      <c r="C158">
        <v>7</v>
      </c>
      <c r="D158" s="9"/>
      <c r="E158" s="9">
        <v>4</v>
      </c>
      <c r="F158" s="9">
        <v>1</v>
      </c>
      <c r="G158" s="2">
        <f>Tabla1[[#This Row],[ALMACEN]]+Tabla1[[#This Row],[SHOWROOM]]+Tabla1[[#This Row],[SEPARADO]]</f>
        <v>5</v>
      </c>
      <c r="H158" s="1">
        <f>VLOOKUP(Tabla1[[#This Row],[Código]], [2]!Tabla1[#Data], 8,)</f>
        <v>12</v>
      </c>
      <c r="I158" s="1">
        <f>Tabla1[[#This Row],[Precio unitario]]*Tabla1[[#This Row],[Conteo total]]</f>
        <v>60</v>
      </c>
    </row>
    <row r="159" spans="1:10" x14ac:dyDescent="0.3">
      <c r="A159">
        <v>320161</v>
      </c>
      <c r="B159" t="s">
        <v>160</v>
      </c>
      <c r="C159">
        <v>95</v>
      </c>
      <c r="D159" s="9">
        <v>84</v>
      </c>
      <c r="E159" s="9">
        <v>9</v>
      </c>
      <c r="F159" s="9">
        <v>1</v>
      </c>
      <c r="G159" s="2">
        <f>Tabla1[[#This Row],[ALMACEN]]+Tabla1[[#This Row],[SHOWROOM]]+Tabla1[[#This Row],[SEPARADO]]</f>
        <v>94</v>
      </c>
      <c r="H159" s="1">
        <f>VLOOKUP(Tabla1[[#This Row],[Código]], [2]!Tabla1[#Data], 8,)</f>
        <v>12</v>
      </c>
      <c r="I159" s="1">
        <f>Tabla1[[#This Row],[Precio unitario]]*Tabla1[[#This Row],[Conteo total]]</f>
        <v>1128</v>
      </c>
    </row>
    <row r="160" spans="1:10" x14ac:dyDescent="0.3">
      <c r="A160">
        <v>320162</v>
      </c>
      <c r="B160" t="s">
        <v>161</v>
      </c>
      <c r="C160">
        <v>30</v>
      </c>
      <c r="D160" s="9">
        <v>26</v>
      </c>
      <c r="E160" s="9">
        <v>1</v>
      </c>
      <c r="F160" s="9">
        <v>1</v>
      </c>
      <c r="G160" s="2">
        <f>Tabla1[[#This Row],[ALMACEN]]+Tabla1[[#This Row],[SHOWROOM]]+Tabla1[[#This Row],[SEPARADO]]</f>
        <v>28</v>
      </c>
      <c r="H160" s="1">
        <f>VLOOKUP(Tabla1[[#This Row],[Código]], [2]!Tabla1[#Data], 8,)</f>
        <v>12</v>
      </c>
      <c r="I160" s="1">
        <f>Tabla1[[#This Row],[Precio unitario]]*Tabla1[[#This Row],[Conteo total]]</f>
        <v>336</v>
      </c>
    </row>
    <row r="161" spans="1:10" x14ac:dyDescent="0.3">
      <c r="A161">
        <v>320163</v>
      </c>
      <c r="B161" t="s">
        <v>162</v>
      </c>
      <c r="C161">
        <v>26</v>
      </c>
      <c r="D161" s="9">
        <v>7</v>
      </c>
      <c r="E161" s="9"/>
      <c r="F161" s="9"/>
      <c r="G161" s="2">
        <f>Tabla1[[#This Row],[ALMACEN]]+Tabla1[[#This Row],[SHOWROOM]]+Tabla1[[#This Row],[SEPARADO]]</f>
        <v>7</v>
      </c>
      <c r="H161" s="1">
        <f>VLOOKUP(Tabla1[[#This Row],[Código]], [2]!Tabla1[#Data], 8,)</f>
        <v>13</v>
      </c>
      <c r="I161" s="1">
        <f>Tabla1[[#This Row],[Precio unitario]]*Tabla1[[#This Row],[Conteo total]]</f>
        <v>91</v>
      </c>
    </row>
    <row r="162" spans="1:10" x14ac:dyDescent="0.3">
      <c r="A162">
        <v>320164</v>
      </c>
      <c r="B162" t="s">
        <v>163</v>
      </c>
      <c r="C162">
        <v>5</v>
      </c>
      <c r="D162" s="9"/>
      <c r="E162" s="9">
        <v>2</v>
      </c>
      <c r="F162" s="9">
        <v>1</v>
      </c>
      <c r="G162" s="2">
        <f>Tabla1[[#This Row],[ALMACEN]]+Tabla1[[#This Row],[SHOWROOM]]+Tabla1[[#This Row],[SEPARADO]]</f>
        <v>3</v>
      </c>
      <c r="H162" s="1">
        <f>VLOOKUP(Tabla1[[#This Row],[Código]], [2]!Tabla1[#Data], 8,)</f>
        <v>9</v>
      </c>
      <c r="I162" s="1">
        <f>Tabla1[[#This Row],[Precio unitario]]*Tabla1[[#This Row],[Conteo total]]</f>
        <v>27</v>
      </c>
    </row>
    <row r="163" spans="1:10" x14ac:dyDescent="0.3">
      <c r="A163">
        <v>320165</v>
      </c>
      <c r="B163" t="s">
        <v>164</v>
      </c>
      <c r="C163">
        <v>10</v>
      </c>
      <c r="D163" s="9">
        <v>1</v>
      </c>
      <c r="E163" s="9">
        <v>2</v>
      </c>
      <c r="F163" s="9"/>
      <c r="G163" s="2">
        <f>Tabla1[[#This Row],[ALMACEN]]+Tabla1[[#This Row],[SHOWROOM]]+Tabla1[[#This Row],[SEPARADO]]</f>
        <v>3</v>
      </c>
      <c r="H163" s="1">
        <f>VLOOKUP(Tabla1[[#This Row],[Código]], [2]!Tabla1[#Data], 8,)</f>
        <v>26</v>
      </c>
      <c r="I163" s="1">
        <f>Tabla1[[#This Row],[Precio unitario]]*Tabla1[[#This Row],[Conteo total]]</f>
        <v>78</v>
      </c>
    </row>
    <row r="164" spans="1:10" hidden="1" x14ac:dyDescent="0.3">
      <c r="A164">
        <v>320166</v>
      </c>
      <c r="B164" t="s">
        <v>165</v>
      </c>
      <c r="C164">
        <v>24</v>
      </c>
      <c r="D164" s="9"/>
      <c r="E164" s="9"/>
      <c r="F164" s="9"/>
      <c r="G164" s="2">
        <f>Tabla1[[#This Row],[ALMACEN]]+Tabla1[[#This Row],[SHOWROOM]]+Tabla1[[#This Row],[SEPARADO]]</f>
        <v>0</v>
      </c>
      <c r="H164" s="1">
        <f>VLOOKUP(Tabla1[[#This Row],[Código]], [2]!Tabla1[#Data], 8,)</f>
        <v>35</v>
      </c>
      <c r="I164" s="1">
        <f>Tabla1[[#This Row],[Precio unitario]]*Tabla1[[#This Row],[Conteo total]]</f>
        <v>0</v>
      </c>
    </row>
    <row r="165" spans="1:10" x14ac:dyDescent="0.3">
      <c r="A165">
        <v>320167</v>
      </c>
      <c r="B165" t="s">
        <v>166</v>
      </c>
      <c r="C165">
        <v>29</v>
      </c>
      <c r="D165" s="9">
        <v>7</v>
      </c>
      <c r="E165" s="9">
        <v>1</v>
      </c>
      <c r="F165" s="9"/>
      <c r="G165" s="2">
        <f>Tabla1[[#This Row],[ALMACEN]]+Tabla1[[#This Row],[SHOWROOM]]+Tabla1[[#This Row],[SEPARADO]]</f>
        <v>8</v>
      </c>
      <c r="H165" s="1">
        <f>VLOOKUP(Tabla1[[#This Row],[Código]], [2]!Tabla1[#Data], 8,)</f>
        <v>42</v>
      </c>
      <c r="I165" s="1">
        <f>Tabla1[[#This Row],[Precio unitario]]*Tabla1[[#This Row],[Conteo total]]</f>
        <v>336</v>
      </c>
    </row>
    <row r="166" spans="1:10" x14ac:dyDescent="0.3">
      <c r="A166">
        <v>320168</v>
      </c>
      <c r="B166" t="s">
        <v>167</v>
      </c>
      <c r="C166">
        <v>10</v>
      </c>
      <c r="D166" s="9"/>
      <c r="E166" s="9">
        <v>2</v>
      </c>
      <c r="F166" s="9">
        <v>1</v>
      </c>
      <c r="G166" s="2">
        <f>Tabla1[[#This Row],[ALMACEN]]+Tabla1[[#This Row],[SHOWROOM]]+Tabla1[[#This Row],[SEPARADO]]</f>
        <v>3</v>
      </c>
      <c r="H166" s="1">
        <f>VLOOKUP(Tabla1[[#This Row],[Código]], [2]!Tabla1[#Data], 8,)</f>
        <v>12</v>
      </c>
      <c r="I166" s="1">
        <f>Tabla1[[#This Row],[Precio unitario]]*Tabla1[[#This Row],[Conteo total]]</f>
        <v>36</v>
      </c>
    </row>
    <row r="167" spans="1:10" hidden="1" x14ac:dyDescent="0.3">
      <c r="A167">
        <v>320169</v>
      </c>
      <c r="B167" t="s">
        <v>168</v>
      </c>
      <c r="C167">
        <v>61</v>
      </c>
      <c r="D167" s="9"/>
      <c r="E167" s="9"/>
      <c r="F167" s="9"/>
      <c r="G167" s="2">
        <f>Tabla1[[#This Row],[ALMACEN]]+Tabla1[[#This Row],[SHOWROOM]]+Tabla1[[#This Row],[SEPARADO]]</f>
        <v>0</v>
      </c>
      <c r="H167" s="1">
        <f>VLOOKUP(Tabla1[[#This Row],[Código]], [2]!Tabla1[#Data], 8,)</f>
        <v>23</v>
      </c>
      <c r="I167" s="1">
        <f>Tabla1[[#This Row],[Precio unitario]]*Tabla1[[#This Row],[Conteo total]]</f>
        <v>0</v>
      </c>
    </row>
    <row r="168" spans="1:10" x14ac:dyDescent="0.3">
      <c r="A168">
        <v>320170</v>
      </c>
      <c r="B168" t="s">
        <v>169</v>
      </c>
      <c r="C168">
        <v>21</v>
      </c>
      <c r="D168" s="9">
        <v>8</v>
      </c>
      <c r="E168" s="9">
        <v>5</v>
      </c>
      <c r="F168" s="9"/>
      <c r="G168" s="2">
        <f>Tabla1[[#This Row],[ALMACEN]]+Tabla1[[#This Row],[SHOWROOM]]+Tabla1[[#This Row],[SEPARADO]]</f>
        <v>13</v>
      </c>
      <c r="H168" s="1">
        <f>VLOOKUP(Tabla1[[#This Row],[Código]], [2]!Tabla1[#Data], 8,)</f>
        <v>12</v>
      </c>
      <c r="I168" s="1">
        <f>Tabla1[[#This Row],[Precio unitario]]*Tabla1[[#This Row],[Conteo total]]</f>
        <v>156</v>
      </c>
    </row>
    <row r="169" spans="1:10" hidden="1" x14ac:dyDescent="0.3">
      <c r="A169">
        <v>320171</v>
      </c>
      <c r="B169" t="s">
        <v>170</v>
      </c>
      <c r="C169">
        <v>21</v>
      </c>
      <c r="D169" s="9"/>
      <c r="E169" s="9"/>
      <c r="F169" s="9"/>
      <c r="G169" s="2">
        <f>Tabla1[[#This Row],[ALMACEN]]+Tabla1[[#This Row],[SHOWROOM]]+Tabla1[[#This Row],[SEPARADO]]</f>
        <v>0</v>
      </c>
      <c r="H169" s="1">
        <f>VLOOKUP(Tabla1[[#This Row],[Código]], [2]!Tabla1[#Data], 8,)</f>
        <v>8</v>
      </c>
      <c r="I169" s="1">
        <f>Tabla1[[#This Row],[Precio unitario]]*Tabla1[[#This Row],[Conteo total]]</f>
        <v>0</v>
      </c>
    </row>
    <row r="170" spans="1:10" hidden="1" x14ac:dyDescent="0.3">
      <c r="A170">
        <v>320172</v>
      </c>
      <c r="B170" t="s">
        <v>171</v>
      </c>
      <c r="C170">
        <v>5</v>
      </c>
      <c r="D170" s="9"/>
      <c r="E170" s="9"/>
      <c r="F170" s="9"/>
      <c r="G170" s="2">
        <f>Tabla1[[#This Row],[ALMACEN]]+Tabla1[[#This Row],[SHOWROOM]]+Tabla1[[#This Row],[SEPARADO]]</f>
        <v>0</v>
      </c>
      <c r="H170" s="1">
        <f>VLOOKUP(Tabla1[[#This Row],[Código]], [2]!Tabla1[#Data], 8,)</f>
        <v>10</v>
      </c>
      <c r="I170" s="1">
        <f>Tabla1[[#This Row],[Precio unitario]]*Tabla1[[#This Row],[Conteo total]]</f>
        <v>0</v>
      </c>
    </row>
    <row r="171" spans="1:10" hidden="1" x14ac:dyDescent="0.3">
      <c r="A171">
        <v>320173</v>
      </c>
      <c r="B171" t="s">
        <v>172</v>
      </c>
      <c r="C171">
        <v>9</v>
      </c>
      <c r="D171" s="9"/>
      <c r="E171" s="9"/>
      <c r="F171" s="9"/>
      <c r="G171" s="2">
        <f>Tabla1[[#This Row],[ALMACEN]]+Tabla1[[#This Row],[SHOWROOM]]+Tabla1[[#This Row],[SEPARADO]]</f>
        <v>0</v>
      </c>
      <c r="H171" s="1">
        <f>VLOOKUP(Tabla1[[#This Row],[Código]], [2]!Tabla1[#Data], 8,)</f>
        <v>10</v>
      </c>
      <c r="I171" s="1">
        <f>Tabla1[[#This Row],[Precio unitario]]*Tabla1[[#This Row],[Conteo total]]</f>
        <v>0</v>
      </c>
    </row>
    <row r="172" spans="1:10" hidden="1" x14ac:dyDescent="0.3">
      <c r="A172">
        <v>320174</v>
      </c>
      <c r="B172" t="s">
        <v>173</v>
      </c>
      <c r="C172">
        <v>43</v>
      </c>
      <c r="D172" s="9"/>
      <c r="E172" s="9"/>
      <c r="F172" s="9"/>
      <c r="G172" s="2">
        <f>Tabla1[[#This Row],[ALMACEN]]+Tabla1[[#This Row],[SHOWROOM]]+Tabla1[[#This Row],[SEPARADO]]</f>
        <v>0</v>
      </c>
      <c r="H172" s="1">
        <f>VLOOKUP(Tabla1[[#This Row],[Código]], [2]!Tabla1[#Data], 8,)</f>
        <v>13</v>
      </c>
      <c r="I172" s="1">
        <f>Tabla1[[#This Row],[Precio unitario]]*Tabla1[[#This Row],[Conteo total]]</f>
        <v>0</v>
      </c>
    </row>
    <row r="173" spans="1:10" hidden="1" x14ac:dyDescent="0.3">
      <c r="A173">
        <v>320175</v>
      </c>
      <c r="B173" t="s">
        <v>174</v>
      </c>
      <c r="C173">
        <v>73</v>
      </c>
      <c r="D173" s="9"/>
      <c r="E173" s="9"/>
      <c r="F173" s="9"/>
      <c r="G173" s="2">
        <f>Tabla1[[#This Row],[ALMACEN]]+Tabla1[[#This Row],[SHOWROOM]]+Tabla1[[#This Row],[SEPARADO]]</f>
        <v>0</v>
      </c>
      <c r="H173" s="1">
        <f>VLOOKUP(Tabla1[[#This Row],[Código]], [2]!Tabla1[#Data], 8,)</f>
        <v>19</v>
      </c>
      <c r="I173" s="1">
        <f>Tabla1[[#This Row],[Precio unitario]]*Tabla1[[#This Row],[Conteo total]]</f>
        <v>0</v>
      </c>
    </row>
    <row r="174" spans="1:10" hidden="1" x14ac:dyDescent="0.3">
      <c r="A174">
        <v>320176</v>
      </c>
      <c r="B174" t="s">
        <v>175</v>
      </c>
      <c r="C174">
        <v>9</v>
      </c>
      <c r="D174" s="9"/>
      <c r="E174" s="9"/>
      <c r="F174" s="9"/>
      <c r="G174" s="2">
        <f>Tabla1[[#This Row],[ALMACEN]]+Tabla1[[#This Row],[SHOWROOM]]+Tabla1[[#This Row],[SEPARADO]]</f>
        <v>0</v>
      </c>
      <c r="H174" s="1">
        <f>VLOOKUP(Tabla1[[#This Row],[Código]], [2]!Tabla1[#Data], 8,)</f>
        <v>19</v>
      </c>
      <c r="I174" s="1">
        <f>Tabla1[[#This Row],[Precio unitario]]*Tabla1[[#This Row],[Conteo total]]</f>
        <v>0</v>
      </c>
    </row>
    <row r="175" spans="1:10" x14ac:dyDescent="0.3">
      <c r="A175">
        <v>320177</v>
      </c>
      <c r="B175" t="s">
        <v>176</v>
      </c>
      <c r="C175">
        <v>8</v>
      </c>
      <c r="D175" s="9"/>
      <c r="E175" s="9">
        <v>1</v>
      </c>
      <c r="F175" s="9"/>
      <c r="G175" s="2">
        <f>Tabla1[[#This Row],[ALMACEN]]+Tabla1[[#This Row],[SHOWROOM]]+Tabla1[[#This Row],[SEPARADO]]</f>
        <v>1</v>
      </c>
      <c r="H175" s="1">
        <f>VLOOKUP(Tabla1[[#This Row],[Código]], [2]!Tabla1[#Data], 8,)</f>
        <v>23</v>
      </c>
      <c r="I175" s="1">
        <f>Tabla1[[#This Row],[Precio unitario]]*Tabla1[[#This Row],[Conteo total]]</f>
        <v>23</v>
      </c>
    </row>
    <row r="176" spans="1:10" x14ac:dyDescent="0.3">
      <c r="A176">
        <v>320178</v>
      </c>
      <c r="B176" t="s">
        <v>177</v>
      </c>
      <c r="C176">
        <v>12</v>
      </c>
      <c r="D176" s="9">
        <v>3</v>
      </c>
      <c r="E176" s="9"/>
      <c r="F176" s="9">
        <v>1</v>
      </c>
      <c r="G176" s="2">
        <f>Tabla1[[#This Row],[ALMACEN]]+Tabla1[[#This Row],[SHOWROOM]]+Tabla1[[#This Row],[SEPARADO]]</f>
        <v>4</v>
      </c>
      <c r="H176" s="1">
        <f>VLOOKUP(Tabla1[[#This Row],[Código]], [2]!Tabla1[#Data], 8,)</f>
        <v>8</v>
      </c>
      <c r="I176" s="1">
        <f>Tabla1[[#This Row],[Precio unitario]]*Tabla1[[#This Row],[Conteo total]]</f>
        <v>32</v>
      </c>
      <c r="J176" t="s">
        <v>446</v>
      </c>
    </row>
    <row r="177" spans="1:10" hidden="1" x14ac:dyDescent="0.3">
      <c r="A177">
        <v>320179</v>
      </c>
      <c r="B177" t="s">
        <v>178</v>
      </c>
      <c r="C177">
        <v>5</v>
      </c>
      <c r="D177" s="9"/>
      <c r="E177" s="9"/>
      <c r="F177" s="9"/>
      <c r="G177" s="2">
        <f>Tabla1[[#This Row],[ALMACEN]]+Tabla1[[#This Row],[SHOWROOM]]+Tabla1[[#This Row],[SEPARADO]]</f>
        <v>0</v>
      </c>
      <c r="H177" s="1">
        <f>VLOOKUP(Tabla1[[#This Row],[Código]], [2]!Tabla1[#Data], 8,)</f>
        <v>13</v>
      </c>
      <c r="I177" s="1">
        <f>Tabla1[[#This Row],[Precio unitario]]*Tabla1[[#This Row],[Conteo total]]</f>
        <v>0</v>
      </c>
    </row>
    <row r="178" spans="1:10" x14ac:dyDescent="0.3">
      <c r="A178">
        <v>320180</v>
      </c>
      <c r="B178" t="s">
        <v>179</v>
      </c>
      <c r="C178">
        <v>40</v>
      </c>
      <c r="D178" s="9">
        <v>3</v>
      </c>
      <c r="E178" s="9"/>
      <c r="F178" s="9">
        <v>1</v>
      </c>
      <c r="G178" s="2">
        <f>Tabla1[[#This Row],[ALMACEN]]+Tabla1[[#This Row],[SHOWROOM]]+Tabla1[[#This Row],[SEPARADO]]</f>
        <v>4</v>
      </c>
      <c r="H178" s="1">
        <f>VLOOKUP(Tabla1[[#This Row],[Código]], [2]!Tabla1[#Data], 8,)</f>
        <v>9</v>
      </c>
      <c r="I178" s="1">
        <f>Tabla1[[#This Row],[Precio unitario]]*Tabla1[[#This Row],[Conteo total]]</f>
        <v>36</v>
      </c>
      <c r="J178" t="s">
        <v>448</v>
      </c>
    </row>
    <row r="179" spans="1:10" x14ac:dyDescent="0.3">
      <c r="A179">
        <v>320181</v>
      </c>
      <c r="B179" t="s">
        <v>180</v>
      </c>
      <c r="C179">
        <v>27</v>
      </c>
      <c r="D179" s="9">
        <v>0</v>
      </c>
      <c r="E179" s="9">
        <v>1</v>
      </c>
      <c r="F179" s="9">
        <v>1</v>
      </c>
      <c r="G179" s="2">
        <f>Tabla1[[#This Row],[ALMACEN]]+Tabla1[[#This Row],[SHOWROOM]]+Tabla1[[#This Row],[SEPARADO]]</f>
        <v>2</v>
      </c>
      <c r="H179" s="1">
        <f>VLOOKUP(Tabla1[[#This Row],[Código]], [2]!Tabla1[#Data], 8,)</f>
        <v>12</v>
      </c>
      <c r="I179" s="1">
        <f>Tabla1[[#This Row],[Precio unitario]]*Tabla1[[#This Row],[Conteo total]]</f>
        <v>24</v>
      </c>
    </row>
    <row r="180" spans="1:10" hidden="1" x14ac:dyDescent="0.3">
      <c r="A180">
        <v>320182</v>
      </c>
      <c r="B180" t="s">
        <v>181</v>
      </c>
      <c r="C180">
        <v>5</v>
      </c>
      <c r="D180" s="9"/>
      <c r="E180" s="9"/>
      <c r="F180" s="9"/>
      <c r="G180" s="2">
        <f>Tabla1[[#This Row],[ALMACEN]]+Tabla1[[#This Row],[SHOWROOM]]+Tabla1[[#This Row],[SEPARADO]]</f>
        <v>0</v>
      </c>
      <c r="H180" s="1">
        <f>VLOOKUP(Tabla1[[#This Row],[Código]], [2]!Tabla1[#Data], 8,)</f>
        <v>9</v>
      </c>
      <c r="I180" s="1">
        <f>Tabla1[[#This Row],[Precio unitario]]*Tabla1[[#This Row],[Conteo total]]</f>
        <v>0</v>
      </c>
    </row>
    <row r="181" spans="1:10" x14ac:dyDescent="0.3">
      <c r="A181">
        <v>320183</v>
      </c>
      <c r="B181" t="s">
        <v>182</v>
      </c>
      <c r="C181">
        <v>37</v>
      </c>
      <c r="D181" s="9">
        <v>26</v>
      </c>
      <c r="E181" s="9">
        <v>5</v>
      </c>
      <c r="F181" s="9">
        <v>1</v>
      </c>
      <c r="G181" s="2">
        <f>Tabla1[[#This Row],[ALMACEN]]+Tabla1[[#This Row],[SHOWROOM]]+Tabla1[[#This Row],[SEPARADO]]</f>
        <v>32</v>
      </c>
      <c r="H181" s="1">
        <f>VLOOKUP(Tabla1[[#This Row],[Código]], [2]!Tabla1[#Data], 8,)</f>
        <v>18</v>
      </c>
      <c r="I181" s="1">
        <f>Tabla1[[#This Row],[Precio unitario]]*Tabla1[[#This Row],[Conteo total]]</f>
        <v>576</v>
      </c>
    </row>
    <row r="182" spans="1:10" hidden="1" x14ac:dyDescent="0.3">
      <c r="A182">
        <v>320184</v>
      </c>
      <c r="B182" t="s">
        <v>183</v>
      </c>
      <c r="C182">
        <v>4</v>
      </c>
      <c r="D182" s="9"/>
      <c r="E182" s="9"/>
      <c r="F182" s="9"/>
      <c r="G182" s="2">
        <f>Tabla1[[#This Row],[ALMACEN]]+Tabla1[[#This Row],[SHOWROOM]]+Tabla1[[#This Row],[SEPARADO]]</f>
        <v>0</v>
      </c>
      <c r="H182" s="1">
        <f>VLOOKUP(Tabla1[[#This Row],[Código]], [2]!Tabla1[#Data], 8,)</f>
        <v>12</v>
      </c>
      <c r="I182" s="1">
        <f>Tabla1[[#This Row],[Precio unitario]]*Tabla1[[#This Row],[Conteo total]]</f>
        <v>0</v>
      </c>
    </row>
    <row r="183" spans="1:10" hidden="1" x14ac:dyDescent="0.3">
      <c r="A183">
        <v>320185</v>
      </c>
      <c r="B183" t="s">
        <v>184</v>
      </c>
      <c r="C183">
        <v>10</v>
      </c>
      <c r="D183" s="9"/>
      <c r="E183" s="9"/>
      <c r="F183" s="9"/>
      <c r="G183" s="2">
        <f>Tabla1[[#This Row],[ALMACEN]]+Tabla1[[#This Row],[SHOWROOM]]+Tabla1[[#This Row],[SEPARADO]]</f>
        <v>0</v>
      </c>
      <c r="H183" s="1">
        <f>VLOOKUP(Tabla1[[#This Row],[Código]], [2]!Tabla1[#Data], 8,)</f>
        <v>7</v>
      </c>
      <c r="I183" s="1">
        <f>Tabla1[[#This Row],[Precio unitario]]*Tabla1[[#This Row],[Conteo total]]</f>
        <v>0</v>
      </c>
    </row>
    <row r="184" spans="1:10" hidden="1" x14ac:dyDescent="0.3">
      <c r="A184">
        <v>320186</v>
      </c>
      <c r="B184" t="s">
        <v>185</v>
      </c>
      <c r="C184">
        <v>6</v>
      </c>
      <c r="D184" s="9"/>
      <c r="E184" s="9"/>
      <c r="F184" s="9"/>
      <c r="G184" s="2">
        <f>Tabla1[[#This Row],[ALMACEN]]+Tabla1[[#This Row],[SHOWROOM]]+Tabla1[[#This Row],[SEPARADO]]</f>
        <v>0</v>
      </c>
      <c r="H184" s="1">
        <f>VLOOKUP(Tabla1[[#This Row],[Código]], [2]!Tabla1[#Data], 8,)</f>
        <v>7</v>
      </c>
      <c r="I184" s="1">
        <f>Tabla1[[#This Row],[Precio unitario]]*Tabla1[[#This Row],[Conteo total]]</f>
        <v>0</v>
      </c>
    </row>
    <row r="185" spans="1:10" x14ac:dyDescent="0.3">
      <c r="A185">
        <v>320187</v>
      </c>
      <c r="B185" t="s">
        <v>186</v>
      </c>
      <c r="C185">
        <v>12</v>
      </c>
      <c r="D185" s="9"/>
      <c r="E185" s="9"/>
      <c r="F185" s="9">
        <v>1</v>
      </c>
      <c r="G185" s="2">
        <f>Tabla1[[#This Row],[ALMACEN]]+Tabla1[[#This Row],[SHOWROOM]]+Tabla1[[#This Row],[SEPARADO]]</f>
        <v>1</v>
      </c>
      <c r="H185" s="1">
        <f>VLOOKUP(Tabla1[[#This Row],[Código]], [2]!Tabla1[#Data], 8,)</f>
        <v>7</v>
      </c>
      <c r="I185" s="1">
        <f>Tabla1[[#This Row],[Precio unitario]]*Tabla1[[#This Row],[Conteo total]]</f>
        <v>7</v>
      </c>
    </row>
    <row r="186" spans="1:10" x14ac:dyDescent="0.3">
      <c r="A186">
        <v>320188</v>
      </c>
      <c r="B186" t="s">
        <v>187</v>
      </c>
      <c r="C186">
        <v>41</v>
      </c>
      <c r="D186" s="9">
        <v>34</v>
      </c>
      <c r="E186" s="9">
        <v>2</v>
      </c>
      <c r="F186" s="9">
        <v>1</v>
      </c>
      <c r="G186" s="2">
        <f>Tabla1[[#This Row],[ALMACEN]]+Tabla1[[#This Row],[SHOWROOM]]+Tabla1[[#This Row],[SEPARADO]]</f>
        <v>37</v>
      </c>
      <c r="H186" s="1">
        <f>VLOOKUP(Tabla1[[#This Row],[Código]], [2]!Tabla1[#Data], 8,)</f>
        <v>7</v>
      </c>
      <c r="I186" s="1">
        <f>Tabla1[[#This Row],[Precio unitario]]*Tabla1[[#This Row],[Conteo total]]</f>
        <v>259</v>
      </c>
    </row>
    <row r="187" spans="1:10" hidden="1" x14ac:dyDescent="0.3">
      <c r="A187">
        <v>320189</v>
      </c>
      <c r="B187" t="s">
        <v>188</v>
      </c>
      <c r="C187">
        <v>5</v>
      </c>
      <c r="D187" s="9"/>
      <c r="E187" s="9"/>
      <c r="F187" s="9"/>
      <c r="G187" s="2">
        <f>Tabla1[[#This Row],[ALMACEN]]+Tabla1[[#This Row],[SHOWROOM]]+Tabla1[[#This Row],[SEPARADO]]</f>
        <v>0</v>
      </c>
      <c r="H187" s="1">
        <f>VLOOKUP(Tabla1[[#This Row],[Código]], [2]!Tabla1[#Data], 8,)</f>
        <v>7</v>
      </c>
      <c r="I187" s="1">
        <f>Tabla1[[#This Row],[Precio unitario]]*Tabla1[[#This Row],[Conteo total]]</f>
        <v>0</v>
      </c>
    </row>
    <row r="188" spans="1:10" x14ac:dyDescent="0.3">
      <c r="A188">
        <v>320190</v>
      </c>
      <c r="B188" t="s">
        <v>189</v>
      </c>
      <c r="C188">
        <v>15</v>
      </c>
      <c r="D188" s="9">
        <v>4</v>
      </c>
      <c r="E188" s="9">
        <v>8</v>
      </c>
      <c r="F188" s="9">
        <v>2</v>
      </c>
      <c r="G188" s="2">
        <f>Tabla1[[#This Row],[ALMACEN]]+Tabla1[[#This Row],[SHOWROOM]]+Tabla1[[#This Row],[SEPARADO]]</f>
        <v>14</v>
      </c>
      <c r="H188" s="1">
        <f>VLOOKUP(Tabla1[[#This Row],[Código]], [2]!Tabla1[#Data], 8,)</f>
        <v>7</v>
      </c>
      <c r="I188" s="1">
        <f>Tabla1[[#This Row],[Precio unitario]]*Tabla1[[#This Row],[Conteo total]]</f>
        <v>98</v>
      </c>
      <c r="J188" t="s">
        <v>336</v>
      </c>
    </row>
    <row r="189" spans="1:10" x14ac:dyDescent="0.3">
      <c r="A189">
        <v>320191</v>
      </c>
      <c r="B189" t="s">
        <v>190</v>
      </c>
      <c r="C189">
        <v>38</v>
      </c>
      <c r="D189" s="9">
        <v>20</v>
      </c>
      <c r="E189" s="9">
        <v>1</v>
      </c>
      <c r="F189" s="9">
        <v>1</v>
      </c>
      <c r="G189" s="2">
        <f>Tabla1[[#This Row],[ALMACEN]]+Tabla1[[#This Row],[SHOWROOM]]+Tabla1[[#This Row],[SEPARADO]]</f>
        <v>22</v>
      </c>
      <c r="H189" s="1">
        <f>VLOOKUP(Tabla1[[#This Row],[Código]], [2]!Tabla1[#Data], 8,)</f>
        <v>7</v>
      </c>
      <c r="I189" s="1">
        <f>Tabla1[[#This Row],[Precio unitario]]*Tabla1[[#This Row],[Conteo total]]</f>
        <v>154</v>
      </c>
    </row>
    <row r="190" spans="1:10" x14ac:dyDescent="0.3">
      <c r="A190">
        <v>320192</v>
      </c>
      <c r="B190" t="s">
        <v>191</v>
      </c>
      <c r="C190">
        <v>9</v>
      </c>
      <c r="D190" s="9"/>
      <c r="E190" s="9">
        <v>4</v>
      </c>
      <c r="F190" s="9"/>
      <c r="G190" s="2">
        <f>Tabla1[[#This Row],[ALMACEN]]+Tabla1[[#This Row],[SHOWROOM]]+Tabla1[[#This Row],[SEPARADO]]</f>
        <v>4</v>
      </c>
      <c r="H190" s="1">
        <f>VLOOKUP(Tabla1[[#This Row],[Código]], [2]!Tabla1[#Data], 8,)</f>
        <v>12</v>
      </c>
      <c r="I190" s="1">
        <f>Tabla1[[#This Row],[Precio unitario]]*Tabla1[[#This Row],[Conteo total]]</f>
        <v>48</v>
      </c>
    </row>
    <row r="191" spans="1:10" x14ac:dyDescent="0.3">
      <c r="A191">
        <v>320193</v>
      </c>
      <c r="B191" t="s">
        <v>192</v>
      </c>
      <c r="C191">
        <v>15</v>
      </c>
      <c r="D191" s="9">
        <v>9</v>
      </c>
      <c r="E191" s="9">
        <v>3</v>
      </c>
      <c r="F191" s="9"/>
      <c r="G191" s="2">
        <f>Tabla1[[#This Row],[ALMACEN]]+Tabla1[[#This Row],[SHOWROOM]]+Tabla1[[#This Row],[SEPARADO]]</f>
        <v>12</v>
      </c>
      <c r="H191" s="1">
        <f>VLOOKUP(Tabla1[[#This Row],[Código]], [2]!Tabla1[#Data], 8,)</f>
        <v>6</v>
      </c>
      <c r="I191" s="1">
        <f>Tabla1[[#This Row],[Precio unitario]]*Tabla1[[#This Row],[Conteo total]]</f>
        <v>72</v>
      </c>
    </row>
    <row r="192" spans="1:10" x14ac:dyDescent="0.3">
      <c r="A192">
        <v>320194</v>
      </c>
      <c r="B192" t="s">
        <v>193</v>
      </c>
      <c r="C192">
        <v>11</v>
      </c>
      <c r="D192" s="9">
        <v>2</v>
      </c>
      <c r="E192" s="9">
        <v>4</v>
      </c>
      <c r="F192" s="9"/>
      <c r="G192" s="2">
        <f>Tabla1[[#This Row],[ALMACEN]]+Tabla1[[#This Row],[SHOWROOM]]+Tabla1[[#This Row],[SEPARADO]]</f>
        <v>6</v>
      </c>
      <c r="H192" s="1">
        <f>VLOOKUP(Tabla1[[#This Row],[Código]], [2]!Tabla1[#Data], 8,)</f>
        <v>6</v>
      </c>
      <c r="I192" s="1">
        <f>Tabla1[[#This Row],[Precio unitario]]*Tabla1[[#This Row],[Conteo total]]</f>
        <v>36</v>
      </c>
    </row>
    <row r="193" spans="1:9" x14ac:dyDescent="0.3">
      <c r="A193">
        <v>320195</v>
      </c>
      <c r="B193" t="s">
        <v>194</v>
      </c>
      <c r="C193">
        <v>25</v>
      </c>
      <c r="D193" s="9">
        <v>11</v>
      </c>
      <c r="E193" s="9">
        <v>7</v>
      </c>
      <c r="F193" s="9"/>
      <c r="G193" s="2">
        <f>Tabla1[[#This Row],[ALMACEN]]+Tabla1[[#This Row],[SHOWROOM]]+Tabla1[[#This Row],[SEPARADO]]</f>
        <v>18</v>
      </c>
      <c r="H193" s="1">
        <f>VLOOKUP(Tabla1[[#This Row],[Código]], [2]!Tabla1[#Data], 8,)</f>
        <v>12</v>
      </c>
      <c r="I193" s="1">
        <f>Tabla1[[#This Row],[Precio unitario]]*Tabla1[[#This Row],[Conteo total]]</f>
        <v>216</v>
      </c>
    </row>
    <row r="194" spans="1:9" x14ac:dyDescent="0.3">
      <c r="A194">
        <v>320196</v>
      </c>
      <c r="B194" t="s">
        <v>195</v>
      </c>
      <c r="C194">
        <v>9</v>
      </c>
      <c r="D194" s="9"/>
      <c r="E194" s="9">
        <v>1</v>
      </c>
      <c r="F194" s="9"/>
      <c r="G194" s="2">
        <f>Tabla1[[#This Row],[ALMACEN]]+Tabla1[[#This Row],[SHOWROOM]]+Tabla1[[#This Row],[SEPARADO]]</f>
        <v>1</v>
      </c>
      <c r="H194" s="1">
        <f>VLOOKUP(Tabla1[[#This Row],[Código]], [2]!Tabla1[#Data], 8,)</f>
        <v>87</v>
      </c>
      <c r="I194" s="1">
        <f>Tabla1[[#This Row],[Precio unitario]]*Tabla1[[#This Row],[Conteo total]]</f>
        <v>87</v>
      </c>
    </row>
    <row r="195" spans="1:9" hidden="1" x14ac:dyDescent="0.3">
      <c r="A195">
        <v>320197</v>
      </c>
      <c r="B195" t="s">
        <v>196</v>
      </c>
      <c r="C195">
        <v>20</v>
      </c>
      <c r="D195" s="9"/>
      <c r="E195" s="9"/>
      <c r="F195" s="9"/>
      <c r="G195" s="2">
        <f>Tabla1[[#This Row],[ALMACEN]]+Tabla1[[#This Row],[SHOWROOM]]+Tabla1[[#This Row],[SEPARADO]]</f>
        <v>0</v>
      </c>
      <c r="H195" s="1">
        <f>VLOOKUP(Tabla1[[#This Row],[Código]], [2]!Tabla1[#Data], 8,)</f>
        <v>23</v>
      </c>
      <c r="I195" s="1">
        <f>Tabla1[[#This Row],[Precio unitario]]*Tabla1[[#This Row],[Conteo total]]</f>
        <v>0</v>
      </c>
    </row>
    <row r="196" spans="1:9" hidden="1" x14ac:dyDescent="0.3">
      <c r="A196">
        <v>320199</v>
      </c>
      <c r="B196" t="s">
        <v>197</v>
      </c>
      <c r="C196">
        <v>59</v>
      </c>
      <c r="D196" s="9"/>
      <c r="E196" s="9"/>
      <c r="F196" s="9"/>
      <c r="G196" s="2">
        <f>Tabla1[[#This Row],[ALMACEN]]+Tabla1[[#This Row],[SHOWROOM]]+Tabla1[[#This Row],[SEPARADO]]</f>
        <v>0</v>
      </c>
      <c r="H196" s="1">
        <f>VLOOKUP(Tabla1[[#This Row],[Código]], [2]!Tabla1[#Data], 8,)</f>
        <v>9</v>
      </c>
      <c r="I196" s="1">
        <f>Tabla1[[#This Row],[Precio unitario]]*Tabla1[[#This Row],[Conteo total]]</f>
        <v>0</v>
      </c>
    </row>
    <row r="197" spans="1:9" hidden="1" x14ac:dyDescent="0.3">
      <c r="A197">
        <v>320200</v>
      </c>
      <c r="B197" t="s">
        <v>198</v>
      </c>
      <c r="C197">
        <v>56</v>
      </c>
      <c r="D197" s="9"/>
      <c r="E197" s="9"/>
      <c r="F197" s="9"/>
      <c r="G197" s="2">
        <f>Tabla1[[#This Row],[ALMACEN]]+Tabla1[[#This Row],[SHOWROOM]]+Tabla1[[#This Row],[SEPARADO]]</f>
        <v>0</v>
      </c>
      <c r="H197" s="1">
        <f>VLOOKUP(Tabla1[[#This Row],[Código]], [2]!Tabla1[#Data], 8,)</f>
        <v>9</v>
      </c>
      <c r="I197" s="1">
        <f>Tabla1[[#This Row],[Precio unitario]]*Tabla1[[#This Row],[Conteo total]]</f>
        <v>0</v>
      </c>
    </row>
    <row r="198" spans="1:9" x14ac:dyDescent="0.3">
      <c r="A198">
        <v>320201</v>
      </c>
      <c r="B198" t="s">
        <v>199</v>
      </c>
      <c r="C198">
        <v>15</v>
      </c>
      <c r="D198" s="9">
        <v>2</v>
      </c>
      <c r="E198" s="9">
        <v>1</v>
      </c>
      <c r="F198" s="9"/>
      <c r="G198" s="2">
        <f>Tabla1[[#This Row],[ALMACEN]]+Tabla1[[#This Row],[SHOWROOM]]+Tabla1[[#This Row],[SEPARADO]]</f>
        <v>3</v>
      </c>
      <c r="H198" s="1">
        <f>VLOOKUP(Tabla1[[#This Row],[Código]], [2]!Tabla1[#Data], 8,)</f>
        <v>61</v>
      </c>
      <c r="I198" s="1">
        <f>Tabla1[[#This Row],[Precio unitario]]*Tabla1[[#This Row],[Conteo total]]</f>
        <v>183</v>
      </c>
    </row>
    <row r="199" spans="1:9" hidden="1" x14ac:dyDescent="0.3">
      <c r="A199">
        <v>320202</v>
      </c>
      <c r="B199" t="s">
        <v>200</v>
      </c>
      <c r="C199">
        <v>3</v>
      </c>
      <c r="D199" s="9"/>
      <c r="E199" s="9"/>
      <c r="F199" s="9"/>
      <c r="G199" s="2">
        <f>Tabla1[[#This Row],[ALMACEN]]+Tabla1[[#This Row],[SHOWROOM]]+Tabla1[[#This Row],[SEPARADO]]</f>
        <v>0</v>
      </c>
      <c r="H199" s="1">
        <f>VLOOKUP(Tabla1[[#This Row],[Código]], [2]!Tabla1[#Data], 8,)</f>
        <v>61</v>
      </c>
      <c r="I199" s="1">
        <f>Tabla1[[#This Row],[Precio unitario]]*Tabla1[[#This Row],[Conteo total]]</f>
        <v>0</v>
      </c>
    </row>
    <row r="200" spans="1:9" x14ac:dyDescent="0.3">
      <c r="A200">
        <v>320203</v>
      </c>
      <c r="B200" t="s">
        <v>201</v>
      </c>
      <c r="C200">
        <v>15</v>
      </c>
      <c r="D200" s="9">
        <v>2</v>
      </c>
      <c r="E200" s="9">
        <v>1</v>
      </c>
      <c r="F200" s="9"/>
      <c r="G200" s="2">
        <f>Tabla1[[#This Row],[ALMACEN]]+Tabla1[[#This Row],[SHOWROOM]]+Tabla1[[#This Row],[SEPARADO]]</f>
        <v>3</v>
      </c>
      <c r="H200" s="1">
        <f>VLOOKUP(Tabla1[[#This Row],[Código]], [2]!Tabla1[#Data], 8,)</f>
        <v>61</v>
      </c>
      <c r="I200" s="1">
        <f>Tabla1[[#This Row],[Precio unitario]]*Tabla1[[#This Row],[Conteo total]]</f>
        <v>183</v>
      </c>
    </row>
    <row r="201" spans="1:9" x14ac:dyDescent="0.3">
      <c r="A201">
        <v>320204</v>
      </c>
      <c r="B201" t="s">
        <v>202</v>
      </c>
      <c r="C201">
        <v>41</v>
      </c>
      <c r="D201" s="9">
        <v>27</v>
      </c>
      <c r="E201" s="9">
        <v>1</v>
      </c>
      <c r="F201" s="9"/>
      <c r="G201" s="2">
        <f>Tabla1[[#This Row],[ALMACEN]]+Tabla1[[#This Row],[SHOWROOM]]+Tabla1[[#This Row],[SEPARADO]]</f>
        <v>28</v>
      </c>
      <c r="H201" s="1">
        <f>VLOOKUP(Tabla1[[#This Row],[Código]], [2]!Tabla1[#Data], 8,)</f>
        <v>58</v>
      </c>
      <c r="I201" s="1">
        <f>Tabla1[[#This Row],[Precio unitario]]*Tabla1[[#This Row],[Conteo total]]</f>
        <v>1624</v>
      </c>
    </row>
    <row r="202" spans="1:9" hidden="1" x14ac:dyDescent="0.3">
      <c r="A202">
        <v>320205</v>
      </c>
      <c r="B202" t="s">
        <v>203</v>
      </c>
      <c r="C202">
        <v>3</v>
      </c>
      <c r="D202" s="9"/>
      <c r="E202" s="9"/>
      <c r="F202" s="9"/>
      <c r="G202" s="2">
        <f>Tabla1[[#This Row],[ALMACEN]]+Tabla1[[#This Row],[SHOWROOM]]+Tabla1[[#This Row],[SEPARADO]]</f>
        <v>0</v>
      </c>
      <c r="H202" s="1">
        <f>VLOOKUP(Tabla1[[#This Row],[Código]], [2]!Tabla1[#Data], 8,)</f>
        <v>58</v>
      </c>
      <c r="I202" s="1">
        <f>Tabla1[[#This Row],[Precio unitario]]*Tabla1[[#This Row],[Conteo total]]</f>
        <v>0</v>
      </c>
    </row>
    <row r="203" spans="1:9" x14ac:dyDescent="0.3">
      <c r="A203">
        <v>320206</v>
      </c>
      <c r="B203" t="s">
        <v>204</v>
      </c>
      <c r="C203">
        <v>18</v>
      </c>
      <c r="D203" s="9">
        <v>11</v>
      </c>
      <c r="E203" s="9">
        <v>2</v>
      </c>
      <c r="F203" s="9"/>
      <c r="G203" s="2">
        <f>Tabla1[[#This Row],[ALMACEN]]+Tabla1[[#This Row],[SHOWROOM]]+Tabla1[[#This Row],[SEPARADO]]</f>
        <v>13</v>
      </c>
      <c r="H203" s="1">
        <f>VLOOKUP(Tabla1[[#This Row],[Código]], [2]!Tabla1[#Data], 8,)</f>
        <v>61</v>
      </c>
      <c r="I203" s="1">
        <f>Tabla1[[#This Row],[Precio unitario]]*Tabla1[[#This Row],[Conteo total]]</f>
        <v>793</v>
      </c>
    </row>
    <row r="204" spans="1:9" x14ac:dyDescent="0.3">
      <c r="A204">
        <v>320207</v>
      </c>
      <c r="B204" t="s">
        <v>205</v>
      </c>
      <c r="C204">
        <v>11</v>
      </c>
      <c r="D204" s="9">
        <v>4</v>
      </c>
      <c r="E204" s="9">
        <v>1</v>
      </c>
      <c r="F204" s="9"/>
      <c r="G204" s="2">
        <f>Tabla1[[#This Row],[ALMACEN]]+Tabla1[[#This Row],[SHOWROOM]]+Tabla1[[#This Row],[SEPARADO]]</f>
        <v>5</v>
      </c>
      <c r="H204" s="1">
        <f>VLOOKUP(Tabla1[[#This Row],[Código]], [2]!Tabla1[#Data], 8,)</f>
        <v>61</v>
      </c>
      <c r="I204" s="1">
        <f>Tabla1[[#This Row],[Precio unitario]]*Tabla1[[#This Row],[Conteo total]]</f>
        <v>305</v>
      </c>
    </row>
    <row r="205" spans="1:9" x14ac:dyDescent="0.3">
      <c r="A205">
        <v>320208</v>
      </c>
      <c r="B205" t="s">
        <v>206</v>
      </c>
      <c r="C205">
        <v>49</v>
      </c>
      <c r="D205" s="9">
        <f>6+1+37</f>
        <v>44</v>
      </c>
      <c r="E205" s="9">
        <v>1</v>
      </c>
      <c r="F205" s="9"/>
      <c r="G205" s="2">
        <f>Tabla1[[#This Row],[ALMACEN]]+Tabla1[[#This Row],[SHOWROOM]]+Tabla1[[#This Row],[SEPARADO]]</f>
        <v>45</v>
      </c>
      <c r="H205" s="1">
        <f>VLOOKUP(Tabla1[[#This Row],[Código]], [2]!Tabla1[#Data], 8,)</f>
        <v>61</v>
      </c>
      <c r="I205" s="1">
        <f>Tabla1[[#This Row],[Precio unitario]]*Tabla1[[#This Row],[Conteo total]]</f>
        <v>2745</v>
      </c>
    </row>
    <row r="206" spans="1:9" x14ac:dyDescent="0.3">
      <c r="G206" s="3"/>
      <c r="H206" s="1"/>
      <c r="I206" s="1">
        <f>SUBTOTAL(109,Tabla1[Total])</f>
        <v>37162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9E80-415F-4FA5-AFDE-A15036E8C116}">
  <dimension ref="A1:H13"/>
  <sheetViews>
    <sheetView workbookViewId="0">
      <selection activeCell="C2" sqref="C1:D1048576"/>
    </sheetView>
  </sheetViews>
  <sheetFormatPr baseColWidth="10" defaultRowHeight="14.4" x14ac:dyDescent="0.3"/>
  <cols>
    <col min="1" max="1" width="14.5546875" bestFit="1" customWidth="1"/>
    <col min="2" max="2" width="61" bestFit="1" customWidth="1"/>
    <col min="3" max="3" width="14.109375" hidden="1" customWidth="1"/>
    <col min="4" max="4" width="11.77734375" hidden="1" customWidth="1"/>
    <col min="5" max="5" width="13.6640625" bestFit="1" customWidth="1"/>
    <col min="6" max="6" width="15.44140625" bestFit="1" customWidth="1"/>
    <col min="7" max="7" width="12.33203125" bestFit="1" customWidth="1"/>
  </cols>
  <sheetData>
    <row r="1" spans="1:8" ht="31.8" x14ac:dyDescent="0.55000000000000004">
      <c r="A1" s="14" t="s">
        <v>221</v>
      </c>
      <c r="B1" s="14"/>
      <c r="C1" s="14"/>
      <c r="D1" s="14"/>
      <c r="E1" s="14"/>
      <c r="F1" s="14"/>
      <c r="G1" s="14"/>
      <c r="H1" s="16" t="s">
        <v>578</v>
      </c>
    </row>
    <row r="2" spans="1:8" x14ac:dyDescent="0.3">
      <c r="A2" t="s">
        <v>209</v>
      </c>
      <c r="B2" t="s">
        <v>210</v>
      </c>
      <c r="C2" t="s">
        <v>207</v>
      </c>
      <c r="D2" t="s">
        <v>3</v>
      </c>
      <c r="E2" t="s">
        <v>261</v>
      </c>
      <c r="F2" t="s">
        <v>260</v>
      </c>
      <c r="G2" t="s">
        <v>262</v>
      </c>
    </row>
    <row r="3" spans="1:8" hidden="1" x14ac:dyDescent="0.3">
      <c r="A3">
        <v>140001</v>
      </c>
      <c r="B3" t="s">
        <v>211</v>
      </c>
      <c r="E3" s="2">
        <f>Tabla2[[#This Row],[SHOWROOM]]+Tabla2[[#This Row],[ALMACEN]]</f>
        <v>0</v>
      </c>
      <c r="F3" s="1"/>
      <c r="G3" s="1">
        <f>Tabla2[[#This Row],[Conteo total]]*Tabla2[[#This Row],[Precio unitario]]</f>
        <v>0</v>
      </c>
    </row>
    <row r="4" spans="1:8" hidden="1" x14ac:dyDescent="0.3">
      <c r="B4" t="s">
        <v>212</v>
      </c>
      <c r="E4" s="2">
        <f>Tabla2[[#This Row],[SHOWROOM]]+Tabla2[[#This Row],[ALMACEN]]</f>
        <v>0</v>
      </c>
      <c r="F4" s="1"/>
      <c r="G4" s="1">
        <f>Tabla2[[#This Row],[Conteo total]]*Tabla2[[#This Row],[Precio unitario]]</f>
        <v>0</v>
      </c>
    </row>
    <row r="5" spans="1:8" s="9" customFormat="1" x14ac:dyDescent="0.3">
      <c r="A5" s="9">
        <v>140003</v>
      </c>
      <c r="B5" s="9" t="s">
        <v>213</v>
      </c>
      <c r="C5" s="9">
        <v>2</v>
      </c>
      <c r="D5" s="9">
        <v>10</v>
      </c>
      <c r="E5" s="13">
        <f>Tabla2[[#This Row],[SHOWROOM]]+Tabla2[[#This Row],[ALMACEN]]</f>
        <v>12</v>
      </c>
      <c r="F5" s="10">
        <v>50</v>
      </c>
      <c r="G5" s="10">
        <f>Tabla2[[#This Row],[Conteo total]]*Tabla2[[#This Row],[Precio unitario]]</f>
        <v>600</v>
      </c>
    </row>
    <row r="6" spans="1:8" x14ac:dyDescent="0.3">
      <c r="A6">
        <v>140004</v>
      </c>
      <c r="B6" t="s">
        <v>214</v>
      </c>
      <c r="C6">
        <v>2</v>
      </c>
      <c r="E6" s="2">
        <f>Tabla2[[#This Row],[SHOWROOM]]+Tabla2[[#This Row],[ALMACEN]]</f>
        <v>2</v>
      </c>
      <c r="F6" s="1">
        <v>32</v>
      </c>
      <c r="G6" s="1">
        <f>Tabla2[[#This Row],[Conteo total]]*Tabla2[[#This Row],[Precio unitario]]</f>
        <v>64</v>
      </c>
    </row>
    <row r="7" spans="1:8" x14ac:dyDescent="0.3">
      <c r="A7">
        <v>140005</v>
      </c>
      <c r="B7" t="s">
        <v>215</v>
      </c>
      <c r="C7">
        <v>6</v>
      </c>
      <c r="D7">
        <v>122</v>
      </c>
      <c r="E7" s="2">
        <f>Tabla2[[#This Row],[SHOWROOM]]+Tabla2[[#This Row],[ALMACEN]]</f>
        <v>128</v>
      </c>
      <c r="F7" s="1">
        <v>24</v>
      </c>
      <c r="G7" s="1">
        <f>Tabla2[[#This Row],[Conteo total]]*Tabla2[[#This Row],[Precio unitario]]</f>
        <v>3072</v>
      </c>
    </row>
    <row r="8" spans="1:8" x14ac:dyDescent="0.3">
      <c r="A8">
        <v>140009</v>
      </c>
      <c r="B8" t="s">
        <v>216</v>
      </c>
      <c r="C8">
        <v>27</v>
      </c>
      <c r="D8">
        <v>68</v>
      </c>
      <c r="E8" s="2">
        <f>Tabla2[[#This Row],[SHOWROOM]]+Tabla2[[#This Row],[ALMACEN]]</f>
        <v>95</v>
      </c>
      <c r="F8" s="1">
        <v>24</v>
      </c>
      <c r="G8" s="1">
        <f>Tabla2[[#This Row],[Conteo total]]*Tabla2[[#This Row],[Precio unitario]]</f>
        <v>2280</v>
      </c>
    </row>
    <row r="9" spans="1:8" x14ac:dyDescent="0.3">
      <c r="A9">
        <v>140007</v>
      </c>
      <c r="B9" t="s">
        <v>217</v>
      </c>
      <c r="C9">
        <v>27</v>
      </c>
      <c r="D9">
        <v>183</v>
      </c>
      <c r="E9" s="2">
        <f>Tabla2[[#This Row],[SHOWROOM]]+Tabla2[[#This Row],[ALMACEN]]</f>
        <v>210</v>
      </c>
      <c r="F9" s="1">
        <v>15</v>
      </c>
      <c r="G9" s="1">
        <f>Tabla2[[#This Row],[Conteo total]]*Tabla2[[#This Row],[Precio unitario]]</f>
        <v>3150</v>
      </c>
    </row>
    <row r="10" spans="1:8" x14ac:dyDescent="0.3">
      <c r="A10">
        <v>140008</v>
      </c>
      <c r="B10" t="s">
        <v>218</v>
      </c>
      <c r="C10">
        <v>2</v>
      </c>
      <c r="D10">
        <v>2</v>
      </c>
      <c r="E10" s="2">
        <f>Tabla2[[#This Row],[SHOWROOM]]+Tabla2[[#This Row],[ALMACEN]]</f>
        <v>4</v>
      </c>
      <c r="F10" s="1">
        <v>40</v>
      </c>
      <c r="G10" s="1">
        <f>Tabla2[[#This Row],[Conteo total]]*Tabla2[[#This Row],[Precio unitario]]</f>
        <v>160</v>
      </c>
    </row>
    <row r="11" spans="1:8" x14ac:dyDescent="0.3">
      <c r="A11">
        <v>140006</v>
      </c>
      <c r="B11" t="s">
        <v>219</v>
      </c>
      <c r="C11">
        <v>5</v>
      </c>
      <c r="D11">
        <v>26</v>
      </c>
      <c r="E11" s="2">
        <f>Tabla2[[#This Row],[SHOWROOM]]+Tabla2[[#This Row],[ALMACEN]]</f>
        <v>31</v>
      </c>
      <c r="F11" s="1">
        <v>30</v>
      </c>
      <c r="G11" s="1">
        <f>Tabla2[[#This Row],[Conteo total]]*Tabla2[[#This Row],[Precio unitario]]</f>
        <v>930</v>
      </c>
    </row>
    <row r="12" spans="1:8" x14ac:dyDescent="0.3">
      <c r="A12">
        <v>140010</v>
      </c>
      <c r="B12" t="s">
        <v>220</v>
      </c>
      <c r="C12">
        <v>7</v>
      </c>
      <c r="D12">
        <v>19</v>
      </c>
      <c r="E12" s="2">
        <f>Tabla2[[#This Row],[SHOWROOM]]+Tabla2[[#This Row],[ALMACEN]]</f>
        <v>26</v>
      </c>
      <c r="F12" s="1">
        <v>15</v>
      </c>
      <c r="G12" s="1">
        <f>Tabla2[[#This Row],[Conteo total]]*Tabla2[[#This Row],[Precio unitario]]</f>
        <v>390</v>
      </c>
    </row>
    <row r="13" spans="1:8" x14ac:dyDescent="0.3">
      <c r="E13" s="2"/>
      <c r="F13" s="1"/>
      <c r="G13" s="1">
        <f>SUBTOTAL(109,Tabla2[Total])</f>
        <v>10646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9958F-5C92-4198-9612-4724B2165F21}">
  <dimension ref="A1:H37"/>
  <sheetViews>
    <sheetView workbookViewId="0">
      <selection activeCell="C2" sqref="C1:D1048576"/>
    </sheetView>
  </sheetViews>
  <sheetFormatPr baseColWidth="10" defaultRowHeight="14.4" x14ac:dyDescent="0.3"/>
  <cols>
    <col min="1" max="1" width="10" bestFit="1" customWidth="1"/>
    <col min="2" max="2" width="54.109375" bestFit="1" customWidth="1"/>
    <col min="3" max="3" width="12.77734375" hidden="1" customWidth="1"/>
    <col min="4" max="4" width="15.44140625" hidden="1" customWidth="1"/>
    <col min="5" max="5" width="14" bestFit="1" customWidth="1"/>
    <col min="6" max="6" width="15.44140625" bestFit="1" customWidth="1"/>
    <col min="7" max="7" width="11.33203125" hidden="1" customWidth="1"/>
  </cols>
  <sheetData>
    <row r="1" spans="1:8" ht="31.8" x14ac:dyDescent="0.55000000000000004">
      <c r="A1" s="14" t="s">
        <v>259</v>
      </c>
      <c r="B1" s="14"/>
      <c r="C1" s="14"/>
      <c r="D1" s="14"/>
      <c r="E1" s="14"/>
      <c r="F1" s="14"/>
      <c r="G1" s="11"/>
      <c r="H1" s="16" t="s">
        <v>578</v>
      </c>
    </row>
    <row r="2" spans="1:8" x14ac:dyDescent="0.3">
      <c r="A2" t="s">
        <v>223</v>
      </c>
      <c r="B2" t="s">
        <v>210</v>
      </c>
      <c r="C2" t="s">
        <v>222</v>
      </c>
      <c r="D2" t="s">
        <v>224</v>
      </c>
      <c r="E2" t="s">
        <v>572</v>
      </c>
      <c r="F2" t="s">
        <v>260</v>
      </c>
      <c r="G2" t="s">
        <v>262</v>
      </c>
    </row>
    <row r="3" spans="1:8" hidden="1" x14ac:dyDescent="0.3">
      <c r="A3">
        <v>370001</v>
      </c>
      <c r="B3" t="s">
        <v>225</v>
      </c>
      <c r="E3" s="2">
        <f>Tabla3[[#This Row],[SHOOWROOM]]+Tabla3[[#This Row],[ALMACEN2]]</f>
        <v>0</v>
      </c>
      <c r="F3" s="1"/>
      <c r="G3" s="1">
        <f>Tabla3[[#This Row],[Precio unitario]]*Tabla3[[#This Row],[Conteo Total]]</f>
        <v>0</v>
      </c>
    </row>
    <row r="4" spans="1:8" hidden="1" x14ac:dyDescent="0.3">
      <c r="A4">
        <v>370002</v>
      </c>
      <c r="B4" t="s">
        <v>226</v>
      </c>
      <c r="E4" s="2">
        <f>Tabla3[[#This Row],[SHOOWROOM]]+Tabla3[[#This Row],[ALMACEN2]]</f>
        <v>0</v>
      </c>
      <c r="F4" s="1"/>
      <c r="G4" s="1">
        <f>Tabla3[[#This Row],[Precio unitario]]*Tabla3[[#This Row],[Conteo Total]]</f>
        <v>0</v>
      </c>
    </row>
    <row r="5" spans="1:8" hidden="1" x14ac:dyDescent="0.3">
      <c r="A5">
        <v>370003</v>
      </c>
      <c r="B5" t="s">
        <v>227</v>
      </c>
      <c r="E5" s="2">
        <f>Tabla3[[#This Row],[SHOOWROOM]]+Tabla3[[#This Row],[ALMACEN2]]</f>
        <v>0</v>
      </c>
      <c r="F5" s="1"/>
      <c r="G5" s="1">
        <f>Tabla3[[#This Row],[Precio unitario]]*Tabla3[[#This Row],[Conteo Total]]</f>
        <v>0</v>
      </c>
    </row>
    <row r="6" spans="1:8" hidden="1" x14ac:dyDescent="0.3">
      <c r="A6">
        <v>370004</v>
      </c>
      <c r="B6" t="s">
        <v>228</v>
      </c>
      <c r="E6" s="2">
        <f>Tabla3[[#This Row],[SHOOWROOM]]+Tabla3[[#This Row],[ALMACEN2]]</f>
        <v>0</v>
      </c>
      <c r="F6" s="1"/>
      <c r="G6" s="1">
        <f>Tabla3[[#This Row],[Precio unitario]]*Tabla3[[#This Row],[Conteo Total]]</f>
        <v>0</v>
      </c>
    </row>
    <row r="7" spans="1:8" hidden="1" x14ac:dyDescent="0.3">
      <c r="A7">
        <v>370005</v>
      </c>
      <c r="B7" t="s">
        <v>229</v>
      </c>
      <c r="E7" s="2">
        <f>Tabla3[[#This Row],[SHOOWROOM]]+Tabla3[[#This Row],[ALMACEN2]]</f>
        <v>0</v>
      </c>
      <c r="F7" s="1"/>
      <c r="G7" s="1">
        <f>Tabla3[[#This Row],[Precio unitario]]*Tabla3[[#This Row],[Conteo Total]]</f>
        <v>0</v>
      </c>
    </row>
    <row r="8" spans="1:8" hidden="1" x14ac:dyDescent="0.3">
      <c r="A8">
        <v>370006</v>
      </c>
      <c r="B8" t="s">
        <v>230</v>
      </c>
      <c r="E8" s="2">
        <f>Tabla3[[#This Row],[SHOOWROOM]]+Tabla3[[#This Row],[ALMACEN2]]</f>
        <v>0</v>
      </c>
      <c r="F8" s="1"/>
      <c r="G8" s="1">
        <f>Tabla3[[#This Row],[Precio unitario]]*Tabla3[[#This Row],[Conteo Total]]</f>
        <v>0</v>
      </c>
    </row>
    <row r="9" spans="1:8" x14ac:dyDescent="0.3">
      <c r="A9">
        <v>370007</v>
      </c>
      <c r="B9" t="s">
        <v>231</v>
      </c>
      <c r="C9">
        <v>29</v>
      </c>
      <c r="D9">
        <v>5</v>
      </c>
      <c r="E9" s="2">
        <f>Tabla3[[#This Row],[SHOOWROOM]]+Tabla3[[#This Row],[ALMACEN2]]</f>
        <v>34</v>
      </c>
      <c r="F9" s="1">
        <v>12</v>
      </c>
      <c r="G9" s="1">
        <f>Tabla3[[#This Row],[Precio unitario]]*Tabla3[[#This Row],[Conteo Total]]</f>
        <v>408</v>
      </c>
    </row>
    <row r="10" spans="1:8" hidden="1" x14ac:dyDescent="0.3">
      <c r="A10">
        <v>370008</v>
      </c>
      <c r="B10" t="s">
        <v>232</v>
      </c>
      <c r="E10" s="2">
        <f>Tabla3[[#This Row],[SHOOWROOM]]+Tabla3[[#This Row],[ALMACEN2]]</f>
        <v>0</v>
      </c>
      <c r="F10" s="1"/>
      <c r="G10" s="1">
        <f>Tabla3[[#This Row],[Precio unitario]]*Tabla3[[#This Row],[Conteo Total]]</f>
        <v>0</v>
      </c>
    </row>
    <row r="11" spans="1:8" hidden="1" x14ac:dyDescent="0.3">
      <c r="A11">
        <v>370009</v>
      </c>
      <c r="B11" t="s">
        <v>233</v>
      </c>
      <c r="E11" s="2">
        <f>Tabla3[[#This Row],[SHOOWROOM]]+Tabla3[[#This Row],[ALMACEN2]]</f>
        <v>0</v>
      </c>
      <c r="F11" s="1"/>
      <c r="G11" s="1">
        <f>Tabla3[[#This Row],[Precio unitario]]*Tabla3[[#This Row],[Conteo Total]]</f>
        <v>0</v>
      </c>
    </row>
    <row r="12" spans="1:8" hidden="1" x14ac:dyDescent="0.3">
      <c r="A12">
        <v>370010</v>
      </c>
      <c r="B12" t="s">
        <v>234</v>
      </c>
      <c r="E12" s="2">
        <f>Tabla3[[#This Row],[SHOOWROOM]]+Tabla3[[#This Row],[ALMACEN2]]</f>
        <v>0</v>
      </c>
      <c r="F12" s="1"/>
      <c r="G12" s="1">
        <f>Tabla3[[#This Row],[Precio unitario]]*Tabla3[[#This Row],[Conteo Total]]</f>
        <v>0</v>
      </c>
    </row>
    <row r="13" spans="1:8" hidden="1" x14ac:dyDescent="0.3">
      <c r="A13">
        <v>370011</v>
      </c>
      <c r="B13" t="s">
        <v>235</v>
      </c>
      <c r="E13" s="2">
        <f>Tabla3[[#This Row],[SHOOWROOM]]+Tabla3[[#This Row],[ALMACEN2]]</f>
        <v>0</v>
      </c>
      <c r="F13" s="1"/>
      <c r="G13" s="1">
        <f>Tabla3[[#This Row],[Precio unitario]]*Tabla3[[#This Row],[Conteo Total]]</f>
        <v>0</v>
      </c>
    </row>
    <row r="14" spans="1:8" hidden="1" x14ac:dyDescent="0.3">
      <c r="A14">
        <v>370012</v>
      </c>
      <c r="B14" t="s">
        <v>236</v>
      </c>
      <c r="E14" s="2">
        <f>Tabla3[[#This Row],[SHOOWROOM]]+Tabla3[[#This Row],[ALMACEN2]]</f>
        <v>0</v>
      </c>
      <c r="F14" s="1"/>
      <c r="G14" s="1">
        <f>Tabla3[[#This Row],[Precio unitario]]*Tabla3[[#This Row],[Conteo Total]]</f>
        <v>0</v>
      </c>
    </row>
    <row r="15" spans="1:8" x14ac:dyDescent="0.3">
      <c r="A15">
        <v>370013</v>
      </c>
      <c r="B15" t="s">
        <v>237</v>
      </c>
      <c r="D15">
        <v>20</v>
      </c>
      <c r="E15" s="2">
        <f>Tabla3[[#This Row],[SHOOWROOM]]+Tabla3[[#This Row],[ALMACEN2]]</f>
        <v>20</v>
      </c>
      <c r="F15" s="1">
        <v>17</v>
      </c>
      <c r="G15" s="1">
        <f>Tabla3[[#This Row],[Precio unitario]]*Tabla3[[#This Row],[Conteo Total]]</f>
        <v>340</v>
      </c>
    </row>
    <row r="16" spans="1:8" hidden="1" x14ac:dyDescent="0.3">
      <c r="A16">
        <v>370014</v>
      </c>
      <c r="B16" t="s">
        <v>238</v>
      </c>
      <c r="E16" s="2">
        <f>Tabla3[[#This Row],[SHOOWROOM]]+Tabla3[[#This Row],[ALMACEN2]]</f>
        <v>0</v>
      </c>
      <c r="F16" s="1"/>
      <c r="G16" s="1">
        <f>Tabla3[[#This Row],[Precio unitario]]*Tabla3[[#This Row],[Conteo Total]]</f>
        <v>0</v>
      </c>
    </row>
    <row r="17" spans="1:7" hidden="1" x14ac:dyDescent="0.3">
      <c r="A17">
        <v>370015</v>
      </c>
      <c r="B17" t="s">
        <v>239</v>
      </c>
      <c r="E17" s="2">
        <f>Tabla3[[#This Row],[SHOOWROOM]]+Tabla3[[#This Row],[ALMACEN2]]</f>
        <v>0</v>
      </c>
      <c r="F17" s="1"/>
      <c r="G17" s="1">
        <f>Tabla3[[#This Row],[Precio unitario]]*Tabla3[[#This Row],[Conteo Total]]</f>
        <v>0</v>
      </c>
    </row>
    <row r="18" spans="1:7" hidden="1" x14ac:dyDescent="0.3">
      <c r="A18">
        <v>370016</v>
      </c>
      <c r="B18" t="s">
        <v>240</v>
      </c>
      <c r="E18" s="2">
        <f>Tabla3[[#This Row],[SHOOWROOM]]+Tabla3[[#This Row],[ALMACEN2]]</f>
        <v>0</v>
      </c>
      <c r="F18" s="1"/>
      <c r="G18" s="1">
        <f>Tabla3[[#This Row],[Precio unitario]]*Tabla3[[#This Row],[Conteo Total]]</f>
        <v>0</v>
      </c>
    </row>
    <row r="19" spans="1:7" hidden="1" x14ac:dyDescent="0.3">
      <c r="A19">
        <v>370017</v>
      </c>
      <c r="B19" t="s">
        <v>241</v>
      </c>
      <c r="E19" s="2">
        <f>Tabla3[[#This Row],[SHOOWROOM]]+Tabla3[[#This Row],[ALMACEN2]]</f>
        <v>0</v>
      </c>
      <c r="F19" s="1"/>
      <c r="G19" s="1">
        <f>Tabla3[[#This Row],[Precio unitario]]*Tabla3[[#This Row],[Conteo Total]]</f>
        <v>0</v>
      </c>
    </row>
    <row r="20" spans="1:7" s="9" customFormat="1" x14ac:dyDescent="0.3">
      <c r="A20" s="9">
        <v>370018</v>
      </c>
      <c r="B20" s="9" t="s">
        <v>242</v>
      </c>
      <c r="C20" s="9">
        <v>32</v>
      </c>
      <c r="D20" s="9">
        <v>2</v>
      </c>
      <c r="E20" s="13">
        <f>Tabla3[[#This Row],[SHOOWROOM]]+Tabla3[[#This Row],[ALMACEN2]]</f>
        <v>34</v>
      </c>
      <c r="F20" s="10">
        <v>12</v>
      </c>
      <c r="G20" s="10">
        <f>Tabla3[[#This Row],[Precio unitario]]*Tabla3[[#This Row],[Conteo Total]]</f>
        <v>408</v>
      </c>
    </row>
    <row r="21" spans="1:7" x14ac:dyDescent="0.3">
      <c r="A21">
        <v>370019</v>
      </c>
      <c r="B21" t="s">
        <v>243</v>
      </c>
      <c r="D21">
        <v>3</v>
      </c>
      <c r="E21" s="2">
        <f>Tabla3[[#This Row],[SHOOWROOM]]+Tabla3[[#This Row],[ALMACEN2]]</f>
        <v>3</v>
      </c>
      <c r="F21" s="1">
        <v>20</v>
      </c>
      <c r="G21" s="1">
        <f>Tabla3[[#This Row],[Precio unitario]]*Tabla3[[#This Row],[Conteo Total]]</f>
        <v>60</v>
      </c>
    </row>
    <row r="22" spans="1:7" s="9" customFormat="1" x14ac:dyDescent="0.3">
      <c r="A22" s="9">
        <v>370020</v>
      </c>
      <c r="B22" s="9" t="s">
        <v>244</v>
      </c>
      <c r="C22" s="9">
        <v>18</v>
      </c>
      <c r="D22" s="9">
        <v>2</v>
      </c>
      <c r="E22" s="13">
        <f>Tabla3[[#This Row],[SHOOWROOM]]+Tabla3[[#This Row],[ALMACEN2]]</f>
        <v>20</v>
      </c>
      <c r="F22" s="10">
        <v>29</v>
      </c>
      <c r="G22" s="10">
        <f>Tabla3[[#This Row],[Precio unitario]]*Tabla3[[#This Row],[Conteo Total]]</f>
        <v>580</v>
      </c>
    </row>
    <row r="23" spans="1:7" s="9" customFormat="1" x14ac:dyDescent="0.3">
      <c r="A23" s="9">
        <v>370021</v>
      </c>
      <c r="B23" s="9" t="s">
        <v>245</v>
      </c>
      <c r="C23" s="9">
        <v>12</v>
      </c>
      <c r="D23" s="9">
        <v>13</v>
      </c>
      <c r="E23" s="13">
        <f>Tabla3[[#This Row],[SHOOWROOM]]+Tabla3[[#This Row],[ALMACEN2]]</f>
        <v>25</v>
      </c>
      <c r="F23" s="10">
        <v>50</v>
      </c>
      <c r="G23" s="10">
        <f>Tabla3[[#This Row],[Precio unitario]]*Tabla3[[#This Row],[Conteo Total]]</f>
        <v>1250</v>
      </c>
    </row>
    <row r="24" spans="1:7" x14ac:dyDescent="0.3">
      <c r="A24">
        <v>370022</v>
      </c>
      <c r="B24" t="s">
        <v>246</v>
      </c>
      <c r="D24">
        <v>1</v>
      </c>
      <c r="E24" s="2">
        <f>Tabla3[[#This Row],[SHOOWROOM]]+Tabla3[[#This Row],[ALMACEN2]]</f>
        <v>1</v>
      </c>
      <c r="F24" s="1">
        <v>27</v>
      </c>
      <c r="G24" s="1">
        <f>Tabla3[[#This Row],[Precio unitario]]*Tabla3[[#This Row],[Conteo Total]]</f>
        <v>27</v>
      </c>
    </row>
    <row r="25" spans="1:7" hidden="1" x14ac:dyDescent="0.3">
      <c r="A25">
        <v>370023</v>
      </c>
      <c r="B25" t="s">
        <v>247</v>
      </c>
      <c r="E25" s="2">
        <f>Tabla3[[#This Row],[SHOOWROOM]]+Tabla3[[#This Row],[ALMACEN2]]</f>
        <v>0</v>
      </c>
      <c r="F25" s="1"/>
      <c r="G25" s="1">
        <f>Tabla3[[#This Row],[Precio unitario]]*Tabla3[[#This Row],[Conteo Total]]</f>
        <v>0</v>
      </c>
    </row>
    <row r="26" spans="1:7" hidden="1" x14ac:dyDescent="0.3">
      <c r="A26">
        <v>370024</v>
      </c>
      <c r="B26" t="s">
        <v>248</v>
      </c>
      <c r="E26" s="2">
        <f>Tabla3[[#This Row],[SHOOWROOM]]+Tabla3[[#This Row],[ALMACEN2]]</f>
        <v>0</v>
      </c>
      <c r="F26" s="1"/>
      <c r="G26" s="1">
        <f>Tabla3[[#This Row],[Precio unitario]]*Tabla3[[#This Row],[Conteo Total]]</f>
        <v>0</v>
      </c>
    </row>
    <row r="27" spans="1:7" x14ac:dyDescent="0.3">
      <c r="A27">
        <v>370025</v>
      </c>
      <c r="B27" t="s">
        <v>249</v>
      </c>
      <c r="D27">
        <v>1</v>
      </c>
      <c r="E27" s="2">
        <f>Tabla3[[#This Row],[SHOOWROOM]]+Tabla3[[#This Row],[ALMACEN2]]</f>
        <v>1</v>
      </c>
      <c r="F27" s="1">
        <v>13</v>
      </c>
      <c r="G27" s="1">
        <f>Tabla3[[#This Row],[Precio unitario]]*Tabla3[[#This Row],[Conteo Total]]</f>
        <v>13</v>
      </c>
    </row>
    <row r="28" spans="1:7" x14ac:dyDescent="0.3">
      <c r="A28">
        <v>370026</v>
      </c>
      <c r="B28" t="s">
        <v>250</v>
      </c>
      <c r="C28">
        <v>37</v>
      </c>
      <c r="D28">
        <v>1</v>
      </c>
      <c r="E28" s="2">
        <f>Tabla3[[#This Row],[SHOOWROOM]]+Tabla3[[#This Row],[ALMACEN2]]</f>
        <v>38</v>
      </c>
      <c r="F28" s="1">
        <v>18</v>
      </c>
      <c r="G28" s="1">
        <f>Tabla3[[#This Row],[Precio unitario]]*Tabla3[[#This Row],[Conteo Total]]</f>
        <v>684</v>
      </c>
    </row>
    <row r="29" spans="1:7" hidden="1" x14ac:dyDescent="0.3">
      <c r="A29">
        <v>370027</v>
      </c>
      <c r="B29" t="s">
        <v>251</v>
      </c>
      <c r="E29" s="2">
        <f>Tabla3[[#This Row],[SHOOWROOM]]+Tabla3[[#This Row],[ALMACEN2]]</f>
        <v>0</v>
      </c>
      <c r="F29" s="1"/>
      <c r="G29" s="1">
        <f>Tabla3[[#This Row],[Precio unitario]]*Tabla3[[#This Row],[Conteo Total]]</f>
        <v>0</v>
      </c>
    </row>
    <row r="30" spans="1:7" hidden="1" x14ac:dyDescent="0.3">
      <c r="A30">
        <v>370028</v>
      </c>
      <c r="B30" t="s">
        <v>252</v>
      </c>
      <c r="E30" s="2">
        <f>Tabla3[[#This Row],[SHOOWROOM]]+Tabla3[[#This Row],[ALMACEN2]]</f>
        <v>0</v>
      </c>
      <c r="F30" s="1"/>
      <c r="G30" s="1">
        <f>Tabla3[[#This Row],[Precio unitario]]*Tabla3[[#This Row],[Conteo Total]]</f>
        <v>0</v>
      </c>
    </row>
    <row r="31" spans="1:7" hidden="1" x14ac:dyDescent="0.3">
      <c r="A31">
        <v>370029</v>
      </c>
      <c r="B31" t="s">
        <v>253</v>
      </c>
      <c r="E31" s="2">
        <f>Tabla3[[#This Row],[SHOOWROOM]]+Tabla3[[#This Row],[ALMACEN2]]</f>
        <v>0</v>
      </c>
      <c r="F31" s="1"/>
      <c r="G31" s="1">
        <f>Tabla3[[#This Row],[Precio unitario]]*Tabla3[[#This Row],[Conteo Total]]</f>
        <v>0</v>
      </c>
    </row>
    <row r="32" spans="1:7" hidden="1" x14ac:dyDescent="0.3">
      <c r="A32">
        <v>370030</v>
      </c>
      <c r="B32" t="s">
        <v>254</v>
      </c>
      <c r="E32" s="2">
        <f>Tabla3[[#This Row],[SHOOWROOM]]+Tabla3[[#This Row],[ALMACEN2]]</f>
        <v>0</v>
      </c>
      <c r="F32" s="1"/>
      <c r="G32" s="1">
        <f>Tabla3[[#This Row],[Precio unitario]]*Tabla3[[#This Row],[Conteo Total]]</f>
        <v>0</v>
      </c>
    </row>
    <row r="33" spans="1:7" x14ac:dyDescent="0.3">
      <c r="A33">
        <v>370031</v>
      </c>
      <c r="B33" t="s">
        <v>255</v>
      </c>
      <c r="C33">
        <v>2</v>
      </c>
      <c r="D33">
        <v>4</v>
      </c>
      <c r="E33" s="2">
        <f>Tabla3[[#This Row],[SHOOWROOM]]+Tabla3[[#This Row],[ALMACEN2]]</f>
        <v>6</v>
      </c>
      <c r="F33" s="1">
        <v>65</v>
      </c>
      <c r="G33" s="1">
        <f>Tabla3[[#This Row],[Precio unitario]]*Tabla3[[#This Row],[Conteo Total]]</f>
        <v>390</v>
      </c>
    </row>
    <row r="34" spans="1:7" x14ac:dyDescent="0.3">
      <c r="A34">
        <v>370032</v>
      </c>
      <c r="B34" t="s">
        <v>256</v>
      </c>
      <c r="D34">
        <v>2</v>
      </c>
      <c r="E34" s="2">
        <f>Tabla3[[#This Row],[SHOOWROOM]]+Tabla3[[#This Row],[ALMACEN2]]</f>
        <v>2</v>
      </c>
      <c r="F34" s="1">
        <v>61</v>
      </c>
      <c r="G34" s="1">
        <f>Tabla3[[#This Row],[Precio unitario]]*Tabla3[[#This Row],[Conteo Total]]</f>
        <v>122</v>
      </c>
    </row>
    <row r="35" spans="1:7" hidden="1" x14ac:dyDescent="0.3">
      <c r="A35">
        <v>370033</v>
      </c>
      <c r="B35" t="s">
        <v>257</v>
      </c>
      <c r="E35" s="2">
        <f>Tabla3[[#This Row],[SHOOWROOM]]+Tabla3[[#This Row],[ALMACEN2]]</f>
        <v>0</v>
      </c>
      <c r="F35" s="1"/>
      <c r="G35" s="1">
        <f>Tabla3[[#This Row],[Precio unitario]]*Tabla3[[#This Row],[Conteo Total]]</f>
        <v>0</v>
      </c>
    </row>
    <row r="36" spans="1:7" x14ac:dyDescent="0.3">
      <c r="A36">
        <v>370034</v>
      </c>
      <c r="B36" t="s">
        <v>258</v>
      </c>
      <c r="C36">
        <v>1</v>
      </c>
      <c r="D36">
        <v>1</v>
      </c>
      <c r="E36" s="2">
        <f>Tabla3[[#This Row],[SHOOWROOM]]+Tabla3[[#This Row],[ALMACEN2]]</f>
        <v>2</v>
      </c>
      <c r="F36" s="1">
        <v>20</v>
      </c>
      <c r="G36" s="1">
        <f>Tabla3[[#This Row],[Precio unitario]]*Tabla3[[#This Row],[Conteo Total]]</f>
        <v>40</v>
      </c>
    </row>
    <row r="37" spans="1:7" x14ac:dyDescent="0.3">
      <c r="E37" s="2"/>
      <c r="F37" s="1"/>
      <c r="G37" s="1">
        <f>SUBTOTAL(109,Tabla3[Total])</f>
        <v>4322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149C0-D9F1-4BCB-B933-997CA11282AF}">
  <dimension ref="A1:F14"/>
  <sheetViews>
    <sheetView workbookViewId="0">
      <selection activeCell="F6" sqref="F6"/>
    </sheetView>
  </sheetViews>
  <sheetFormatPr baseColWidth="10" defaultRowHeight="14.4" x14ac:dyDescent="0.3"/>
  <cols>
    <col min="1" max="1" width="9.109375" bestFit="1" customWidth="1"/>
    <col min="2" max="2" width="59.33203125" bestFit="1" customWidth="1"/>
    <col min="3" max="3" width="10.33203125" bestFit="1" customWidth="1"/>
    <col min="4" max="4" width="14" bestFit="1" customWidth="1"/>
    <col min="5" max="5" width="0" hidden="1" customWidth="1"/>
  </cols>
  <sheetData>
    <row r="1" spans="1:6" ht="31.8" x14ac:dyDescent="0.55000000000000004">
      <c r="A1" s="14" t="s">
        <v>566</v>
      </c>
      <c r="B1" s="14"/>
      <c r="C1" s="14"/>
      <c r="D1" s="14"/>
      <c r="E1" s="14"/>
      <c r="F1" s="16" t="s">
        <v>578</v>
      </c>
    </row>
    <row r="2" spans="1:6" x14ac:dyDescent="0.3">
      <c r="A2" t="s">
        <v>0</v>
      </c>
      <c r="B2" t="s">
        <v>263</v>
      </c>
      <c r="C2" t="s">
        <v>264</v>
      </c>
      <c r="D2" t="s">
        <v>260</v>
      </c>
      <c r="E2" t="s">
        <v>262</v>
      </c>
    </row>
    <row r="3" spans="1:6" x14ac:dyDescent="0.3">
      <c r="A3">
        <v>60000</v>
      </c>
      <c r="B3" t="s">
        <v>265</v>
      </c>
      <c r="C3">
        <v>1</v>
      </c>
      <c r="D3" s="1">
        <v>39</v>
      </c>
      <c r="E3" s="1">
        <f>Tabla4[[#This Row],[Precio unitario]]*Tabla4[[#This Row],[CONTEO]]</f>
        <v>39</v>
      </c>
    </row>
    <row r="4" spans="1:6" x14ac:dyDescent="0.3">
      <c r="A4">
        <v>60004</v>
      </c>
      <c r="B4" t="s">
        <v>266</v>
      </c>
      <c r="C4">
        <v>1</v>
      </c>
      <c r="D4" s="1">
        <v>52</v>
      </c>
      <c r="E4" s="1">
        <f>Tabla4[[#This Row],[Precio unitario]]*Tabla4[[#This Row],[CONTEO]]</f>
        <v>52</v>
      </c>
    </row>
    <row r="5" spans="1:6" x14ac:dyDescent="0.3">
      <c r="A5">
        <v>60005</v>
      </c>
      <c r="B5" t="s">
        <v>267</v>
      </c>
      <c r="C5">
        <v>1</v>
      </c>
      <c r="D5" s="1">
        <v>59</v>
      </c>
      <c r="E5" s="1">
        <f>Tabla4[[#This Row],[Precio unitario]]*Tabla4[[#This Row],[CONTEO]]</f>
        <v>59</v>
      </c>
    </row>
    <row r="6" spans="1:6" x14ac:dyDescent="0.3">
      <c r="A6">
        <v>60006</v>
      </c>
      <c r="B6" t="s">
        <v>268</v>
      </c>
      <c r="C6">
        <v>1</v>
      </c>
      <c r="D6" s="1">
        <v>33</v>
      </c>
      <c r="E6" s="1">
        <f>Tabla4[[#This Row],[Precio unitario]]*Tabla4[[#This Row],[CONTEO]]</f>
        <v>33</v>
      </c>
    </row>
    <row r="7" spans="1:6" x14ac:dyDescent="0.3">
      <c r="A7">
        <v>60012</v>
      </c>
      <c r="B7" t="s">
        <v>269</v>
      </c>
      <c r="C7">
        <v>2</v>
      </c>
      <c r="D7" s="1">
        <v>71</v>
      </c>
      <c r="E7" s="1">
        <f>Tabla4[[#This Row],[Precio unitario]]*Tabla4[[#This Row],[CONTEO]]</f>
        <v>142</v>
      </c>
    </row>
    <row r="8" spans="1:6" x14ac:dyDescent="0.3">
      <c r="A8">
        <v>60013</v>
      </c>
      <c r="B8" t="s">
        <v>270</v>
      </c>
      <c r="C8">
        <v>2</v>
      </c>
      <c r="D8" s="1">
        <v>120</v>
      </c>
      <c r="E8" s="1">
        <f>Tabla4[[#This Row],[Precio unitario]]*Tabla4[[#This Row],[CONTEO]]</f>
        <v>240</v>
      </c>
    </row>
    <row r="9" spans="1:6" x14ac:dyDescent="0.3">
      <c r="A9">
        <v>60014</v>
      </c>
      <c r="B9" t="s">
        <v>271</v>
      </c>
      <c r="C9">
        <v>1</v>
      </c>
      <c r="D9" s="1">
        <v>173</v>
      </c>
      <c r="E9" s="1">
        <f>Tabla4[[#This Row],[Precio unitario]]*Tabla4[[#This Row],[CONTEO]]</f>
        <v>173</v>
      </c>
    </row>
    <row r="10" spans="1:6" x14ac:dyDescent="0.3">
      <c r="A10">
        <v>60015</v>
      </c>
      <c r="B10" t="s">
        <v>272</v>
      </c>
      <c r="C10">
        <v>1</v>
      </c>
      <c r="D10" s="1">
        <v>271</v>
      </c>
      <c r="E10" s="1">
        <f>Tabla4[[#This Row],[Precio unitario]]*Tabla4[[#This Row],[CONTEO]]</f>
        <v>271</v>
      </c>
    </row>
    <row r="11" spans="1:6" x14ac:dyDescent="0.3">
      <c r="A11">
        <v>60016</v>
      </c>
      <c r="B11" t="s">
        <v>273</v>
      </c>
      <c r="C11">
        <v>1</v>
      </c>
      <c r="D11" s="1">
        <v>303</v>
      </c>
      <c r="E11" s="1">
        <f>Tabla4[[#This Row],[Precio unitario]]*Tabla4[[#This Row],[CONTEO]]</f>
        <v>303</v>
      </c>
    </row>
    <row r="12" spans="1:6" x14ac:dyDescent="0.3">
      <c r="A12">
        <v>60018</v>
      </c>
      <c r="B12" t="s">
        <v>274</v>
      </c>
      <c r="C12">
        <v>1</v>
      </c>
      <c r="D12" s="1">
        <v>195</v>
      </c>
      <c r="E12" s="1">
        <f>Tabla4[[#This Row],[Precio unitario]]*Tabla4[[#This Row],[CONTEO]]</f>
        <v>195</v>
      </c>
    </row>
    <row r="13" spans="1:6" x14ac:dyDescent="0.3">
      <c r="A13">
        <v>60020</v>
      </c>
      <c r="B13" t="s">
        <v>275</v>
      </c>
      <c r="C13">
        <v>2</v>
      </c>
      <c r="D13" s="1">
        <v>13</v>
      </c>
      <c r="E13" s="1">
        <f>Tabla4[[#This Row],[Precio unitario]]*Tabla4[[#This Row],[CONTEO]]</f>
        <v>26</v>
      </c>
    </row>
    <row r="14" spans="1:6" x14ac:dyDescent="0.3">
      <c r="D14" s="1"/>
      <c r="E14" s="1">
        <f>SUBTOTAL(109,Tabla4[Total])</f>
        <v>1533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FD03-713E-4585-AC47-19B327646F1C}">
  <dimension ref="A1:I47"/>
  <sheetViews>
    <sheetView workbookViewId="0">
      <selection activeCell="I8" sqref="I8"/>
    </sheetView>
  </sheetViews>
  <sheetFormatPr baseColWidth="10" defaultRowHeight="14.4" x14ac:dyDescent="0.3"/>
  <cols>
    <col min="1" max="1" width="15.77734375" bestFit="1" customWidth="1"/>
    <col min="2" max="2" width="16" bestFit="1" customWidth="1"/>
    <col min="3" max="3" width="54.109375" bestFit="1" customWidth="1"/>
    <col min="4" max="4" width="11.77734375" hidden="1" customWidth="1"/>
    <col min="5" max="5" width="14.109375" hidden="1" customWidth="1"/>
    <col min="6" max="6" width="14" bestFit="1" customWidth="1"/>
    <col min="7" max="7" width="16.109375" bestFit="1" customWidth="1"/>
    <col min="8" max="8" width="12.33203125" hidden="1" customWidth="1"/>
  </cols>
  <sheetData>
    <row r="1" spans="1:9" ht="31.8" x14ac:dyDescent="0.55000000000000004">
      <c r="A1" s="14" t="s">
        <v>324</v>
      </c>
      <c r="B1" s="14"/>
      <c r="C1" s="14"/>
      <c r="D1" s="14"/>
      <c r="E1" s="14"/>
      <c r="F1" s="14"/>
      <c r="G1" s="14"/>
      <c r="I1" s="16" t="s">
        <v>578</v>
      </c>
    </row>
    <row r="2" spans="1:9" x14ac:dyDescent="0.3">
      <c r="A2" t="s">
        <v>276</v>
      </c>
      <c r="B2" t="s">
        <v>277</v>
      </c>
      <c r="C2" t="s">
        <v>210</v>
      </c>
      <c r="D2" t="s">
        <v>3</v>
      </c>
      <c r="E2" t="s">
        <v>207</v>
      </c>
      <c r="F2" t="s">
        <v>338</v>
      </c>
      <c r="G2" t="s">
        <v>278</v>
      </c>
      <c r="H2" t="s">
        <v>339</v>
      </c>
    </row>
    <row r="3" spans="1:9" x14ac:dyDescent="0.3">
      <c r="A3">
        <v>410001</v>
      </c>
      <c r="B3" s="4">
        <v>341180909104</v>
      </c>
      <c r="C3" t="s">
        <v>279</v>
      </c>
      <c r="D3">
        <v>14</v>
      </c>
      <c r="E3">
        <v>5</v>
      </c>
      <c r="F3" s="2">
        <f>Tabla5[[#This Row],[ALMACEN]]+Tabla5[[#This Row],[SHOWROOM]]</f>
        <v>19</v>
      </c>
      <c r="G3" s="1">
        <v>103</v>
      </c>
      <c r="H3" s="1">
        <f>Tabla5[[#This Row],[Precio/Unitario]]*Tabla5[[#This Row],[Total Conteo]]</f>
        <v>1957</v>
      </c>
    </row>
    <row r="4" spans="1:9" x14ac:dyDescent="0.3">
      <c r="A4">
        <v>410002</v>
      </c>
      <c r="B4" s="4">
        <v>341180909135</v>
      </c>
      <c r="C4" t="s">
        <v>280</v>
      </c>
      <c r="D4">
        <v>10</v>
      </c>
      <c r="E4">
        <v>7</v>
      </c>
      <c r="F4" s="2">
        <f>Tabla5[[#This Row],[ALMACEN]]+Tabla5[[#This Row],[SHOWROOM]]</f>
        <v>17</v>
      </c>
      <c r="G4" s="1">
        <v>134</v>
      </c>
      <c r="H4" s="1">
        <f>Tabla5[[#This Row],[Precio/Unitario]]*Tabla5[[#This Row],[Total Conteo]]</f>
        <v>2278</v>
      </c>
    </row>
    <row r="5" spans="1:9" x14ac:dyDescent="0.3">
      <c r="A5">
        <v>410003</v>
      </c>
      <c r="B5" s="4">
        <v>7450106076257</v>
      </c>
      <c r="C5" t="s">
        <v>281</v>
      </c>
      <c r="D5">
        <v>7</v>
      </c>
      <c r="F5" s="2">
        <f>Tabla5[[#This Row],[ALMACEN]]+Tabla5[[#This Row],[SHOWROOM]]</f>
        <v>7</v>
      </c>
      <c r="G5" s="1">
        <v>40</v>
      </c>
      <c r="H5" s="1">
        <f>Tabla5[[#This Row],[Precio/Unitario]]*Tabla5[[#This Row],[Total Conteo]]</f>
        <v>280</v>
      </c>
    </row>
    <row r="6" spans="1:9" hidden="1" x14ac:dyDescent="0.3">
      <c r="A6">
        <v>410005</v>
      </c>
      <c r="B6" s="4">
        <v>341180859225</v>
      </c>
      <c r="C6" t="s">
        <v>282</v>
      </c>
      <c r="F6" s="2">
        <f>Tabla5[[#This Row],[ALMACEN]]+Tabla5[[#This Row],[SHOWROOM]]</f>
        <v>0</v>
      </c>
      <c r="G6" s="1">
        <v>55</v>
      </c>
      <c r="H6" s="1">
        <f>Tabla5[[#This Row],[Precio/Unitario]]*Tabla5[[#This Row],[Total Conteo]]</f>
        <v>0</v>
      </c>
    </row>
    <row r="7" spans="1:9" hidden="1" x14ac:dyDescent="0.3">
      <c r="A7">
        <v>410006</v>
      </c>
      <c r="B7" s="4" t="s">
        <v>283</v>
      </c>
      <c r="C7" t="s">
        <v>284</v>
      </c>
      <c r="F7" s="2">
        <f>Tabla5[[#This Row],[ALMACEN]]+Tabla5[[#This Row],[SHOWROOM]]</f>
        <v>0</v>
      </c>
      <c r="G7" s="1"/>
      <c r="H7" s="1">
        <f>Tabla5[[#This Row],[Precio/Unitario]]*Tabla5[[#This Row],[Total Conteo]]</f>
        <v>0</v>
      </c>
    </row>
    <row r="8" spans="1:9" x14ac:dyDescent="0.3">
      <c r="A8">
        <v>410007</v>
      </c>
      <c r="B8" s="4">
        <v>8693357013278</v>
      </c>
      <c r="C8" t="s">
        <v>285</v>
      </c>
      <c r="D8">
        <v>10</v>
      </c>
      <c r="E8">
        <v>1</v>
      </c>
      <c r="F8" s="2">
        <f>Tabla5[[#This Row],[ALMACEN]]+Tabla5[[#This Row],[SHOWROOM]]</f>
        <v>11</v>
      </c>
      <c r="G8" s="1">
        <v>115</v>
      </c>
      <c r="H8" s="1">
        <f>Tabla5[[#This Row],[Precio/Unitario]]*Tabla5[[#This Row],[Total Conteo]]</f>
        <v>1265</v>
      </c>
    </row>
    <row r="9" spans="1:9" hidden="1" x14ac:dyDescent="0.3">
      <c r="A9">
        <v>410008</v>
      </c>
      <c r="B9" s="4">
        <v>8693357050013</v>
      </c>
      <c r="C9" t="s">
        <v>286</v>
      </c>
      <c r="F9" s="2">
        <f>Tabla5[[#This Row],[ALMACEN]]+Tabla5[[#This Row],[SHOWROOM]]</f>
        <v>0</v>
      </c>
      <c r="G9" s="1">
        <v>76</v>
      </c>
      <c r="H9" s="1">
        <f>Tabla5[[#This Row],[Precio/Unitario]]*Tabla5[[#This Row],[Total Conteo]]</f>
        <v>0</v>
      </c>
    </row>
    <row r="10" spans="1:9" x14ac:dyDescent="0.3">
      <c r="A10">
        <v>410009</v>
      </c>
      <c r="B10" s="4">
        <v>8693357254589</v>
      </c>
      <c r="C10" t="s">
        <v>287</v>
      </c>
      <c r="D10">
        <v>37</v>
      </c>
      <c r="E10">
        <v>1</v>
      </c>
      <c r="F10" s="2">
        <f>Tabla5[[#This Row],[ALMACEN]]+Tabla5[[#This Row],[SHOWROOM]]</f>
        <v>38</v>
      </c>
      <c r="G10" s="1">
        <v>40</v>
      </c>
      <c r="H10" s="1">
        <f>Tabla5[[#This Row],[Precio/Unitario]]*Tabla5[[#This Row],[Total Conteo]]</f>
        <v>1520</v>
      </c>
    </row>
    <row r="11" spans="1:9" x14ac:dyDescent="0.3">
      <c r="A11">
        <v>410010</v>
      </c>
      <c r="B11" s="4">
        <v>818800615016</v>
      </c>
      <c r="C11" t="s">
        <v>288</v>
      </c>
      <c r="D11">
        <v>5</v>
      </c>
      <c r="E11">
        <v>3</v>
      </c>
      <c r="F11" s="2">
        <f>Tabla5[[#This Row],[ALMACEN]]+Tabla5[[#This Row],[SHOWROOM]]</f>
        <v>8</v>
      </c>
      <c r="G11" s="1">
        <v>43</v>
      </c>
      <c r="H11" s="1">
        <f>Tabla5[[#This Row],[Precio/Unitario]]*Tabla5[[#This Row],[Total Conteo]]</f>
        <v>344</v>
      </c>
    </row>
    <row r="12" spans="1:9" hidden="1" x14ac:dyDescent="0.3">
      <c r="A12">
        <v>410012</v>
      </c>
      <c r="B12" s="4">
        <v>815725007384</v>
      </c>
      <c r="C12" t="s">
        <v>289</v>
      </c>
      <c r="F12" s="2">
        <f>Tabla5[[#This Row],[ALMACEN]]+Tabla5[[#This Row],[SHOWROOM]]</f>
        <v>0</v>
      </c>
      <c r="G12" s="1"/>
      <c r="H12" s="1">
        <f>Tabla5[[#This Row],[Precio/Unitario]]*Tabla5[[#This Row],[Total Conteo]]</f>
        <v>0</v>
      </c>
    </row>
    <row r="13" spans="1:9" x14ac:dyDescent="0.3">
      <c r="A13">
        <v>410013</v>
      </c>
      <c r="B13" s="4">
        <v>8693357288294</v>
      </c>
      <c r="C13" t="s">
        <v>290</v>
      </c>
      <c r="D13">
        <v>1</v>
      </c>
      <c r="E13">
        <v>1</v>
      </c>
      <c r="F13" s="2">
        <f>Tabla5[[#This Row],[ALMACEN]]+Tabla5[[#This Row],[SHOWROOM]]</f>
        <v>2</v>
      </c>
      <c r="G13" s="1">
        <v>54</v>
      </c>
      <c r="H13" s="1">
        <f>Tabla5[[#This Row],[Precio/Unitario]]*Tabla5[[#This Row],[Total Conteo]]</f>
        <v>108</v>
      </c>
    </row>
    <row r="14" spans="1:9" x14ac:dyDescent="0.3">
      <c r="A14">
        <v>410014</v>
      </c>
      <c r="B14" s="4">
        <v>815725007377</v>
      </c>
      <c r="C14" t="s">
        <v>291</v>
      </c>
      <c r="D14">
        <v>24</v>
      </c>
      <c r="E14">
        <v>2</v>
      </c>
      <c r="F14" s="2">
        <f>Tabla5[[#This Row],[ALMACEN]]+Tabla5[[#This Row],[SHOWROOM]]</f>
        <v>26</v>
      </c>
      <c r="G14" s="1">
        <v>65</v>
      </c>
      <c r="H14" s="1">
        <f>Tabla5[[#This Row],[Precio/Unitario]]*Tabla5[[#This Row],[Total Conteo]]</f>
        <v>1690</v>
      </c>
    </row>
    <row r="15" spans="1:9" x14ac:dyDescent="0.3">
      <c r="A15">
        <v>410015</v>
      </c>
      <c r="B15" s="4">
        <v>815725007490</v>
      </c>
      <c r="C15" t="s">
        <v>292</v>
      </c>
      <c r="D15">
        <v>16</v>
      </c>
      <c r="E15">
        <v>2</v>
      </c>
      <c r="F15" s="2">
        <f>Tabla5[[#This Row],[ALMACEN]]+Tabla5[[#This Row],[SHOWROOM]]</f>
        <v>18</v>
      </c>
      <c r="G15" s="1">
        <v>58</v>
      </c>
      <c r="H15" s="1">
        <f>Tabla5[[#This Row],[Precio/Unitario]]*Tabla5[[#This Row],[Total Conteo]]</f>
        <v>1044</v>
      </c>
    </row>
    <row r="16" spans="1:9" x14ac:dyDescent="0.3">
      <c r="A16">
        <v>410016</v>
      </c>
      <c r="B16" s="4">
        <v>8693357266148</v>
      </c>
      <c r="C16" t="s">
        <v>293</v>
      </c>
      <c r="D16">
        <v>24</v>
      </c>
      <c r="E16">
        <v>1</v>
      </c>
      <c r="F16" s="2">
        <f>Tabla5[[#This Row],[ALMACEN]]+Tabla5[[#This Row],[SHOWROOM]]</f>
        <v>25</v>
      </c>
      <c r="G16" s="1">
        <v>97</v>
      </c>
      <c r="H16" s="1">
        <f>Tabla5[[#This Row],[Precio/Unitario]]*Tabla5[[#This Row],[Total Conteo]]</f>
        <v>2425</v>
      </c>
    </row>
    <row r="17" spans="1:8" x14ac:dyDescent="0.3">
      <c r="A17">
        <v>410017</v>
      </c>
      <c r="B17" s="4">
        <v>8693357252660</v>
      </c>
      <c r="C17" t="s">
        <v>294</v>
      </c>
      <c r="D17">
        <v>34</v>
      </c>
      <c r="E17">
        <v>1</v>
      </c>
      <c r="F17" s="2">
        <f>Tabla5[[#This Row],[ALMACEN]]+Tabla5[[#This Row],[SHOWROOM]]</f>
        <v>35</v>
      </c>
      <c r="G17" s="1">
        <v>52</v>
      </c>
      <c r="H17" s="1">
        <f>Tabla5[[#This Row],[Precio/Unitario]]*Tabla5[[#This Row],[Total Conteo]]</f>
        <v>1820</v>
      </c>
    </row>
    <row r="18" spans="1:8" x14ac:dyDescent="0.3">
      <c r="A18">
        <v>410018</v>
      </c>
      <c r="B18" s="4">
        <v>8693357242753</v>
      </c>
      <c r="C18" t="s">
        <v>295</v>
      </c>
      <c r="D18">
        <v>41</v>
      </c>
      <c r="E18">
        <v>1</v>
      </c>
      <c r="F18" s="2">
        <f>Tabla5[[#This Row],[ALMACEN]]+Tabla5[[#This Row],[SHOWROOM]]</f>
        <v>42</v>
      </c>
      <c r="G18" s="1">
        <v>55</v>
      </c>
      <c r="H18" s="1">
        <f>Tabla5[[#This Row],[Precio/Unitario]]*Tabla5[[#This Row],[Total Conteo]]</f>
        <v>2310</v>
      </c>
    </row>
    <row r="19" spans="1:8" x14ac:dyDescent="0.3">
      <c r="A19">
        <v>410019</v>
      </c>
      <c r="B19" s="4">
        <v>341180919189</v>
      </c>
      <c r="C19" t="s">
        <v>296</v>
      </c>
      <c r="D19">
        <v>6</v>
      </c>
      <c r="F19" s="2">
        <f>Tabla5[[#This Row],[ALMACEN]]+Tabla5[[#This Row],[SHOWROOM]]</f>
        <v>6</v>
      </c>
      <c r="G19" s="1">
        <v>100</v>
      </c>
      <c r="H19" s="1">
        <f>Tabla5[[#This Row],[Precio/Unitario]]*Tabla5[[#This Row],[Total Conteo]]</f>
        <v>600</v>
      </c>
    </row>
    <row r="20" spans="1:8" x14ac:dyDescent="0.3">
      <c r="A20">
        <v>410020</v>
      </c>
      <c r="B20" s="4">
        <v>8693357053977</v>
      </c>
      <c r="C20" t="s">
        <v>297</v>
      </c>
      <c r="D20">
        <v>18</v>
      </c>
      <c r="E20">
        <v>1</v>
      </c>
      <c r="F20" s="2">
        <f>Tabla5[[#This Row],[ALMACEN]]+Tabla5[[#This Row],[SHOWROOM]]</f>
        <v>19</v>
      </c>
      <c r="G20" s="1">
        <v>61</v>
      </c>
      <c r="H20" s="1">
        <f>Tabla5[[#This Row],[Precio/Unitario]]*Tabla5[[#This Row],[Total Conteo]]</f>
        <v>1159</v>
      </c>
    </row>
    <row r="21" spans="1:8" x14ac:dyDescent="0.3">
      <c r="A21">
        <v>410021</v>
      </c>
      <c r="B21" s="4">
        <v>7891155038979</v>
      </c>
      <c r="C21" t="s">
        <v>298</v>
      </c>
      <c r="E21">
        <v>6</v>
      </c>
      <c r="F21" s="2">
        <f>Tabla5[[#This Row],[ALMACEN]]+Tabla5[[#This Row],[SHOWROOM]]</f>
        <v>6</v>
      </c>
      <c r="G21" s="1">
        <v>15</v>
      </c>
      <c r="H21" s="1">
        <f>Tabla5[[#This Row],[Precio/Unitario]]*Tabla5[[#This Row],[Total Conteo]]</f>
        <v>90</v>
      </c>
    </row>
    <row r="22" spans="1:8" x14ac:dyDescent="0.3">
      <c r="A22">
        <v>410022</v>
      </c>
      <c r="B22" s="4">
        <v>818800613692</v>
      </c>
      <c r="C22" t="s">
        <v>299</v>
      </c>
      <c r="D22">
        <v>4</v>
      </c>
      <c r="E22">
        <v>1</v>
      </c>
      <c r="F22" s="2">
        <f>Tabla5[[#This Row],[ALMACEN]]+Tabla5[[#This Row],[SHOWROOM]]</f>
        <v>5</v>
      </c>
      <c r="G22" s="1">
        <v>67</v>
      </c>
      <c r="H22" s="1">
        <f>Tabla5[[#This Row],[Precio/Unitario]]*Tabla5[[#This Row],[Total Conteo]]</f>
        <v>335</v>
      </c>
    </row>
    <row r="23" spans="1:8" x14ac:dyDescent="0.3">
      <c r="A23">
        <v>410023</v>
      </c>
      <c r="B23" s="4">
        <v>818800627675</v>
      </c>
      <c r="C23" t="s">
        <v>300</v>
      </c>
      <c r="D23">
        <v>14</v>
      </c>
      <c r="E23">
        <v>3</v>
      </c>
      <c r="F23" s="2">
        <f>Tabla5[[#This Row],[ALMACEN]]+Tabla5[[#This Row],[SHOWROOM]]</f>
        <v>17</v>
      </c>
      <c r="G23" s="1">
        <v>61</v>
      </c>
      <c r="H23" s="1">
        <f>Tabla5[[#This Row],[Precio/Unitario]]*Tabla5[[#This Row],[Total Conteo]]</f>
        <v>1037</v>
      </c>
    </row>
    <row r="24" spans="1:8" x14ac:dyDescent="0.3">
      <c r="A24">
        <v>410024</v>
      </c>
      <c r="B24" s="4">
        <v>818800627712</v>
      </c>
      <c r="C24" t="s">
        <v>301</v>
      </c>
      <c r="D24">
        <v>10</v>
      </c>
      <c r="F24" s="2">
        <f>Tabla5[[#This Row],[ALMACEN]]+Tabla5[[#This Row],[SHOWROOM]]</f>
        <v>10</v>
      </c>
      <c r="G24" s="1">
        <v>31</v>
      </c>
      <c r="H24" s="1">
        <f>Tabla5[[#This Row],[Precio/Unitario]]*Tabla5[[#This Row],[Total Conteo]]</f>
        <v>310</v>
      </c>
    </row>
    <row r="25" spans="1:8" x14ac:dyDescent="0.3">
      <c r="A25">
        <v>410025</v>
      </c>
      <c r="B25" s="4">
        <v>818800627651</v>
      </c>
      <c r="C25" t="s">
        <v>302</v>
      </c>
      <c r="D25">
        <v>29</v>
      </c>
      <c r="E25">
        <v>2</v>
      </c>
      <c r="F25" s="2">
        <f>Tabla5[[#This Row],[ALMACEN]]+Tabla5[[#This Row],[SHOWROOM]]</f>
        <v>31</v>
      </c>
      <c r="G25" s="1">
        <v>34</v>
      </c>
      <c r="H25" s="1">
        <f>Tabla5[[#This Row],[Precio/Unitario]]*Tabla5[[#This Row],[Total Conteo]]</f>
        <v>1054</v>
      </c>
    </row>
    <row r="26" spans="1:8" x14ac:dyDescent="0.3">
      <c r="A26">
        <v>410026</v>
      </c>
      <c r="B26" s="4">
        <v>818800627729</v>
      </c>
      <c r="C26" t="s">
        <v>303</v>
      </c>
      <c r="D26">
        <v>1</v>
      </c>
      <c r="E26">
        <v>4</v>
      </c>
      <c r="F26" s="2">
        <f>Tabla5[[#This Row],[ALMACEN]]+Tabla5[[#This Row],[SHOWROOM]]</f>
        <v>5</v>
      </c>
      <c r="G26" s="1">
        <v>43</v>
      </c>
      <c r="H26" s="1">
        <f>Tabla5[[#This Row],[Precio/Unitario]]*Tabla5[[#This Row],[Total Conteo]]</f>
        <v>215</v>
      </c>
    </row>
    <row r="27" spans="1:8" x14ac:dyDescent="0.3">
      <c r="A27">
        <v>410027</v>
      </c>
      <c r="B27" s="4">
        <v>818800627736</v>
      </c>
      <c r="C27" t="s">
        <v>304</v>
      </c>
      <c r="E27">
        <v>10</v>
      </c>
      <c r="F27" s="2">
        <f>Tabla5[[#This Row],[ALMACEN]]+Tabla5[[#This Row],[SHOWROOM]]</f>
        <v>10</v>
      </c>
      <c r="G27" s="1">
        <v>52</v>
      </c>
      <c r="H27" s="1">
        <f>Tabla5[[#This Row],[Precio/Unitario]]*Tabla5[[#This Row],[Total Conteo]]</f>
        <v>520</v>
      </c>
    </row>
    <row r="28" spans="1:8" x14ac:dyDescent="0.3">
      <c r="A28">
        <v>410028</v>
      </c>
      <c r="B28" s="4">
        <v>818800627668</v>
      </c>
      <c r="C28" t="s">
        <v>305</v>
      </c>
      <c r="E28">
        <v>1</v>
      </c>
      <c r="F28" s="2">
        <f>Tabla5[[#This Row],[ALMACEN]]+Tabla5[[#This Row],[SHOWROOM]]</f>
        <v>1</v>
      </c>
      <c r="G28" s="1">
        <v>55</v>
      </c>
      <c r="H28" s="1">
        <f>Tabla5[[#This Row],[Precio/Unitario]]*Tabla5[[#This Row],[Total Conteo]]</f>
        <v>55</v>
      </c>
    </row>
    <row r="29" spans="1:8" x14ac:dyDescent="0.3">
      <c r="A29">
        <v>410029</v>
      </c>
      <c r="B29" s="4">
        <v>818800613005</v>
      </c>
      <c r="C29" t="s">
        <v>306</v>
      </c>
      <c r="D29">
        <v>48</v>
      </c>
      <c r="E29">
        <v>4</v>
      </c>
      <c r="F29" s="2">
        <f>Tabla5[[#This Row],[ALMACEN]]+Tabla5[[#This Row],[SHOWROOM]]</f>
        <v>52</v>
      </c>
      <c r="G29" s="1">
        <v>29</v>
      </c>
      <c r="H29" s="1">
        <f>Tabla5[[#This Row],[Precio/Unitario]]*Tabla5[[#This Row],[Total Conteo]]</f>
        <v>1508</v>
      </c>
    </row>
    <row r="30" spans="1:8" x14ac:dyDescent="0.3">
      <c r="A30">
        <v>410030</v>
      </c>
      <c r="B30" s="4">
        <v>818800613708</v>
      </c>
      <c r="C30" t="s">
        <v>307</v>
      </c>
      <c r="D30">
        <v>2</v>
      </c>
      <c r="E30">
        <v>1</v>
      </c>
      <c r="F30" s="2">
        <f>Tabla5[[#This Row],[ALMACEN]]+Tabla5[[#This Row],[SHOWROOM]]</f>
        <v>3</v>
      </c>
      <c r="G30" s="1">
        <v>43</v>
      </c>
      <c r="H30" s="1">
        <f>Tabla5[[#This Row],[Precio/Unitario]]*Tabla5[[#This Row],[Total Conteo]]</f>
        <v>129</v>
      </c>
    </row>
    <row r="31" spans="1:8" hidden="1" x14ac:dyDescent="0.3">
      <c r="A31">
        <v>410031</v>
      </c>
      <c r="B31" s="4">
        <v>341180909623</v>
      </c>
      <c r="C31" t="s">
        <v>308</v>
      </c>
      <c r="F31" s="2">
        <f>Tabla5[[#This Row],[ALMACEN]]+Tabla5[[#This Row],[SHOWROOM]]</f>
        <v>0</v>
      </c>
      <c r="G31" s="1">
        <v>40</v>
      </c>
      <c r="H31" s="1">
        <f>Tabla5[[#This Row],[Precio/Unitario]]*Tabla5[[#This Row],[Total Conteo]]</f>
        <v>0</v>
      </c>
    </row>
    <row r="32" spans="1:8" hidden="1" x14ac:dyDescent="0.3">
      <c r="A32">
        <v>410032</v>
      </c>
      <c r="B32" s="4">
        <v>341180909630</v>
      </c>
      <c r="C32" t="s">
        <v>309</v>
      </c>
      <c r="F32" s="2">
        <f>Tabla5[[#This Row],[ALMACEN]]+Tabla5[[#This Row],[SHOWROOM]]</f>
        <v>0</v>
      </c>
      <c r="G32" s="1">
        <v>58</v>
      </c>
      <c r="H32" s="1">
        <f>Tabla5[[#This Row],[Precio/Unitario]]*Tabla5[[#This Row],[Total Conteo]]</f>
        <v>0</v>
      </c>
    </row>
    <row r="33" spans="1:8" x14ac:dyDescent="0.3">
      <c r="A33">
        <v>410033</v>
      </c>
      <c r="B33" s="4">
        <v>341180909692</v>
      </c>
      <c r="C33" t="s">
        <v>310</v>
      </c>
      <c r="D33">
        <v>8</v>
      </c>
      <c r="E33">
        <v>4</v>
      </c>
      <c r="F33" s="2">
        <f>Tabla5[[#This Row],[ALMACEN]]+Tabla5[[#This Row],[SHOWROOM]]</f>
        <v>12</v>
      </c>
      <c r="G33" s="1">
        <v>58</v>
      </c>
      <c r="H33" s="1">
        <f>Tabla5[[#This Row],[Precio/Unitario]]*Tabla5[[#This Row],[Total Conteo]]</f>
        <v>696</v>
      </c>
    </row>
    <row r="34" spans="1:8" x14ac:dyDescent="0.3">
      <c r="A34">
        <v>410034</v>
      </c>
      <c r="B34" s="4">
        <v>341180909685</v>
      </c>
      <c r="C34" t="s">
        <v>311</v>
      </c>
      <c r="D34">
        <v>5</v>
      </c>
      <c r="E34">
        <v>2</v>
      </c>
      <c r="F34" s="2">
        <f>Tabla5[[#This Row],[ALMACEN]]+Tabla5[[#This Row],[SHOWROOM]]</f>
        <v>7</v>
      </c>
      <c r="G34" s="1">
        <v>40</v>
      </c>
      <c r="H34" s="1">
        <f>Tabla5[[#This Row],[Precio/Unitario]]*Tabla5[[#This Row],[Total Conteo]]</f>
        <v>280</v>
      </c>
    </row>
    <row r="35" spans="1:8" x14ac:dyDescent="0.3">
      <c r="A35">
        <v>410035</v>
      </c>
      <c r="B35" s="4" t="s">
        <v>312</v>
      </c>
      <c r="C35" t="s">
        <v>313</v>
      </c>
      <c r="D35">
        <v>1</v>
      </c>
      <c r="E35">
        <v>1</v>
      </c>
      <c r="F35" s="2">
        <f>Tabla5[[#This Row],[ALMACEN]]+Tabla5[[#This Row],[SHOWROOM]]</f>
        <v>2</v>
      </c>
      <c r="G35" s="1">
        <v>80</v>
      </c>
      <c r="H35" s="1">
        <f>Tabla5[[#This Row],[Precio/Unitario]]*Tabla5[[#This Row],[Total Conteo]]</f>
        <v>160</v>
      </c>
    </row>
    <row r="36" spans="1:8" hidden="1" x14ac:dyDescent="0.3">
      <c r="A36">
        <v>410036</v>
      </c>
      <c r="B36" s="4">
        <v>8992787932075</v>
      </c>
      <c r="C36" t="s">
        <v>314</v>
      </c>
      <c r="F36" s="2">
        <f>Tabla5[[#This Row],[ALMACEN]]+Tabla5[[#This Row],[SHOWROOM]]</f>
        <v>0</v>
      </c>
      <c r="G36" s="1">
        <v>77</v>
      </c>
      <c r="H36" s="1">
        <f>Tabla5[[#This Row],[Precio/Unitario]]*Tabla5[[#This Row],[Total Conteo]]</f>
        <v>0</v>
      </c>
    </row>
    <row r="37" spans="1:8" x14ac:dyDescent="0.3">
      <c r="A37">
        <v>410037</v>
      </c>
      <c r="B37" s="4">
        <v>815725007216</v>
      </c>
      <c r="C37" t="s">
        <v>315</v>
      </c>
      <c r="D37">
        <v>5</v>
      </c>
      <c r="E37">
        <v>1</v>
      </c>
      <c r="F37" s="2">
        <f>Tabla5[[#This Row],[ALMACEN]]+Tabla5[[#This Row],[SHOWROOM]]</f>
        <v>6</v>
      </c>
      <c r="G37" s="1">
        <v>69</v>
      </c>
      <c r="H37" s="1">
        <f>Tabla5[[#This Row],[Precio/Unitario]]*Tabla5[[#This Row],[Total Conteo]]</f>
        <v>414</v>
      </c>
    </row>
    <row r="38" spans="1:8" hidden="1" x14ac:dyDescent="0.3">
      <c r="A38">
        <v>410038</v>
      </c>
      <c r="B38" s="4">
        <v>341180919172</v>
      </c>
      <c r="C38" t="s">
        <v>316</v>
      </c>
      <c r="F38" s="2">
        <f>Tabla5[[#This Row],[ALMACEN]]+Tabla5[[#This Row],[SHOWROOM]]</f>
        <v>0</v>
      </c>
      <c r="G38" s="1"/>
      <c r="H38" s="1">
        <f>Tabla5[[#This Row],[Precio/Unitario]]*Tabla5[[#This Row],[Total Conteo]]</f>
        <v>0</v>
      </c>
    </row>
    <row r="39" spans="1:8" x14ac:dyDescent="0.3">
      <c r="A39">
        <v>410040</v>
      </c>
      <c r="B39" s="4">
        <v>35077</v>
      </c>
      <c r="C39" t="s">
        <v>317</v>
      </c>
      <c r="E39">
        <v>2</v>
      </c>
      <c r="F39" s="2">
        <f>Tabla5[[#This Row],[ALMACEN]]+Tabla5[[#This Row],[SHOWROOM]]</f>
        <v>2</v>
      </c>
      <c r="G39" s="1">
        <v>86</v>
      </c>
      <c r="H39" s="1">
        <f>Tabla5[[#This Row],[Precio/Unitario]]*Tabla5[[#This Row],[Total Conteo]]</f>
        <v>172</v>
      </c>
    </row>
    <row r="40" spans="1:8" x14ac:dyDescent="0.3">
      <c r="A40">
        <v>410041</v>
      </c>
      <c r="B40" s="4">
        <v>35083</v>
      </c>
      <c r="C40" t="s">
        <v>318</v>
      </c>
      <c r="E40">
        <v>1</v>
      </c>
      <c r="F40" s="2">
        <f>Tabla5[[#This Row],[ALMACEN]]+Tabla5[[#This Row],[SHOWROOM]]</f>
        <v>1</v>
      </c>
      <c r="G40" s="1">
        <v>59</v>
      </c>
      <c r="H40" s="1">
        <f>Tabla5[[#This Row],[Precio/Unitario]]*Tabla5[[#This Row],[Total Conteo]]</f>
        <v>59</v>
      </c>
    </row>
    <row r="41" spans="1:8" hidden="1" x14ac:dyDescent="0.3">
      <c r="A41">
        <v>410043</v>
      </c>
      <c r="B41" s="4">
        <v>35098</v>
      </c>
      <c r="C41" t="s">
        <v>319</v>
      </c>
      <c r="F41" s="2">
        <f>Tabla5[[#This Row],[ALMACEN]]+Tabla5[[#This Row],[SHOWROOM]]</f>
        <v>0</v>
      </c>
      <c r="G41" s="1">
        <v>86</v>
      </c>
      <c r="H41" s="1">
        <f>Tabla5[[#This Row],[Precio/Unitario]]*Tabla5[[#This Row],[Total Conteo]]</f>
        <v>0</v>
      </c>
    </row>
    <row r="42" spans="1:8" hidden="1" x14ac:dyDescent="0.3">
      <c r="A42">
        <v>410044</v>
      </c>
      <c r="B42" s="4">
        <v>35099</v>
      </c>
      <c r="C42" t="s">
        <v>320</v>
      </c>
      <c r="F42" s="2">
        <f>Tabla5[[#This Row],[ALMACEN]]+Tabla5[[#This Row],[SHOWROOM]]</f>
        <v>0</v>
      </c>
      <c r="G42" s="1">
        <v>90</v>
      </c>
      <c r="H42" s="1">
        <f>Tabla5[[#This Row],[Precio/Unitario]]*Tabla5[[#This Row],[Total Conteo]]</f>
        <v>0</v>
      </c>
    </row>
    <row r="43" spans="1:8" x14ac:dyDescent="0.3">
      <c r="A43">
        <v>410045</v>
      </c>
      <c r="B43" s="4">
        <v>35097</v>
      </c>
      <c r="C43" t="s">
        <v>321</v>
      </c>
      <c r="D43">
        <v>2</v>
      </c>
      <c r="F43" s="2">
        <f>Tabla5[[#This Row],[ALMACEN]]+Tabla5[[#This Row],[SHOWROOM]]</f>
        <v>2</v>
      </c>
      <c r="G43" s="1">
        <v>95</v>
      </c>
      <c r="H43" s="1">
        <f>Tabla5[[#This Row],[Precio/Unitario]]*Tabla5[[#This Row],[Total Conteo]]</f>
        <v>190</v>
      </c>
    </row>
    <row r="44" spans="1:8" x14ac:dyDescent="0.3">
      <c r="A44">
        <v>410046</v>
      </c>
      <c r="B44" s="4">
        <v>35080</v>
      </c>
      <c r="C44" t="s">
        <v>322</v>
      </c>
      <c r="D44">
        <v>1</v>
      </c>
      <c r="F44" s="2">
        <f>Tabla5[[#This Row],[ALMACEN]]+Tabla5[[#This Row],[SHOWROOM]]</f>
        <v>1</v>
      </c>
      <c r="G44" s="1">
        <v>80</v>
      </c>
      <c r="H44" s="1">
        <f>Tabla5[[#This Row],[Precio/Unitario]]*Tabla5[[#This Row],[Total Conteo]]</f>
        <v>80</v>
      </c>
    </row>
    <row r="45" spans="1:8" hidden="1" x14ac:dyDescent="0.3">
      <c r="A45">
        <v>410047</v>
      </c>
      <c r="B45" s="4">
        <v>822</v>
      </c>
      <c r="C45" t="s">
        <v>323</v>
      </c>
      <c r="F45" s="2">
        <f>Tabla5[[#This Row],[ALMACEN]]+Tabla5[[#This Row],[SHOWROOM]]</f>
        <v>0</v>
      </c>
      <c r="G45" s="1">
        <v>69</v>
      </c>
      <c r="H45" s="1">
        <f>Tabla5[[#This Row],[Precio/Unitario]]*Tabla5[[#This Row],[Total Conteo]]</f>
        <v>0</v>
      </c>
    </row>
    <row r="46" spans="1:8" x14ac:dyDescent="0.3">
      <c r="A46">
        <v>410048</v>
      </c>
      <c r="B46" s="4"/>
      <c r="C46" t="s">
        <v>337</v>
      </c>
      <c r="D46">
        <v>35</v>
      </c>
      <c r="F46" s="2">
        <f>Tabla5[[#This Row],[ALMACEN]]+Tabla5[[#This Row],[SHOWROOM]]</f>
        <v>35</v>
      </c>
      <c r="G46" s="1">
        <v>9</v>
      </c>
      <c r="H46" s="1">
        <f>Tabla5[[#This Row],[Precio/Unitario]]*Tabla5[[#This Row],[Total Conteo]]</f>
        <v>315</v>
      </c>
    </row>
    <row r="47" spans="1:8" x14ac:dyDescent="0.3">
      <c r="B47" s="4"/>
      <c r="F47" s="3"/>
      <c r="G47" s="1"/>
      <c r="H47" s="1">
        <f>SUBTOTAL(109,Tabla5[TOTAL])</f>
        <v>26419</v>
      </c>
    </row>
  </sheetData>
  <mergeCells count="1">
    <mergeCell ref="A1:G1"/>
  </mergeCells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92F9-BB19-48E0-A2EE-43F3D3431E1A}">
  <dimension ref="A1:E10"/>
  <sheetViews>
    <sheetView workbookViewId="0">
      <selection activeCell="E3" sqref="E3:E4"/>
    </sheetView>
  </sheetViews>
  <sheetFormatPr baseColWidth="10" defaultRowHeight="14.4" x14ac:dyDescent="0.3"/>
  <cols>
    <col min="2" max="2" width="31.77734375" bestFit="1" customWidth="1"/>
    <col min="4" max="4" width="15.109375" customWidth="1"/>
    <col min="5" max="5" width="11.88671875" bestFit="1" customWidth="1"/>
  </cols>
  <sheetData>
    <row r="1" spans="1:5" ht="31.8" x14ac:dyDescent="0.55000000000000004">
      <c r="A1" s="14" t="s">
        <v>567</v>
      </c>
      <c r="B1" s="14"/>
      <c r="C1" s="14"/>
      <c r="D1" s="14"/>
      <c r="E1" s="20" t="s">
        <v>579</v>
      </c>
    </row>
    <row r="2" spans="1:5" x14ac:dyDescent="0.3">
      <c r="A2" t="s">
        <v>0</v>
      </c>
      <c r="B2" t="s">
        <v>1</v>
      </c>
      <c r="C2" t="s">
        <v>325</v>
      </c>
      <c r="D2" t="s">
        <v>260</v>
      </c>
    </row>
    <row r="3" spans="1:5" x14ac:dyDescent="0.3">
      <c r="A3">
        <v>690001</v>
      </c>
      <c r="B3" t="s">
        <v>326</v>
      </c>
      <c r="C3">
        <v>2</v>
      </c>
      <c r="D3" s="1">
        <v>8603</v>
      </c>
    </row>
    <row r="4" spans="1:5" x14ac:dyDescent="0.3">
      <c r="A4">
        <v>690002</v>
      </c>
      <c r="B4" t="s">
        <v>327</v>
      </c>
      <c r="C4">
        <v>2</v>
      </c>
      <c r="D4" s="1">
        <v>8603</v>
      </c>
    </row>
    <row r="5" spans="1:5" hidden="1" x14ac:dyDescent="0.3">
      <c r="A5">
        <v>690003</v>
      </c>
      <c r="B5" t="s">
        <v>328</v>
      </c>
      <c r="D5" s="1">
        <v>8881</v>
      </c>
    </row>
    <row r="6" spans="1:5" x14ac:dyDescent="0.3">
      <c r="A6">
        <v>690004</v>
      </c>
      <c r="B6" t="s">
        <v>329</v>
      </c>
      <c r="D6" s="1">
        <v>8881</v>
      </c>
    </row>
    <row r="7" spans="1:5" x14ac:dyDescent="0.3">
      <c r="A7">
        <v>690005</v>
      </c>
      <c r="B7" t="s">
        <v>330</v>
      </c>
      <c r="C7">
        <v>1</v>
      </c>
      <c r="D7" s="1">
        <v>7419</v>
      </c>
    </row>
    <row r="8" spans="1:5" hidden="1" x14ac:dyDescent="0.3">
      <c r="A8">
        <v>690006</v>
      </c>
      <c r="B8" t="s">
        <v>331</v>
      </c>
      <c r="D8" s="1">
        <v>8603</v>
      </c>
    </row>
    <row r="9" spans="1:5" x14ac:dyDescent="0.3">
      <c r="A9">
        <v>690007</v>
      </c>
      <c r="B9" t="s">
        <v>332</v>
      </c>
      <c r="C9">
        <v>0</v>
      </c>
      <c r="D9" s="1">
        <v>8220</v>
      </c>
    </row>
    <row r="10" spans="1:5" x14ac:dyDescent="0.3">
      <c r="D10" s="1">
        <f>SUBTOTAL(109,Tabla6[Precio unitario])</f>
        <v>41726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1533-A195-4888-B226-CC0B102D576C}">
  <dimension ref="A1:F8"/>
  <sheetViews>
    <sheetView workbookViewId="0">
      <selection activeCell="F1" sqref="F1"/>
    </sheetView>
  </sheetViews>
  <sheetFormatPr baseColWidth="10" defaultRowHeight="14.4" x14ac:dyDescent="0.3"/>
  <cols>
    <col min="1" max="1" width="9.109375" bestFit="1" customWidth="1"/>
    <col min="2" max="2" width="20.33203125" bestFit="1" customWidth="1"/>
    <col min="3" max="3" width="10.33203125" bestFit="1" customWidth="1"/>
    <col min="4" max="4" width="9.44140625" bestFit="1" customWidth="1"/>
    <col min="5" max="5" width="9.77734375" bestFit="1" customWidth="1"/>
  </cols>
  <sheetData>
    <row r="1" spans="1:6" ht="31.8" x14ac:dyDescent="0.55000000000000004">
      <c r="A1" s="14" t="s">
        <v>346</v>
      </c>
      <c r="B1" s="14"/>
      <c r="C1" s="14"/>
      <c r="D1" s="14"/>
      <c r="E1" s="14"/>
      <c r="F1" s="16" t="s">
        <v>580</v>
      </c>
    </row>
    <row r="2" spans="1:6" x14ac:dyDescent="0.3">
      <c r="A2" t="s">
        <v>0</v>
      </c>
      <c r="B2" t="s">
        <v>263</v>
      </c>
      <c r="C2" t="s">
        <v>264</v>
      </c>
      <c r="D2" t="s">
        <v>340</v>
      </c>
      <c r="E2" t="s">
        <v>339</v>
      </c>
    </row>
    <row r="3" spans="1:6" x14ac:dyDescent="0.3">
      <c r="A3">
        <v>390001</v>
      </c>
      <c r="B3" t="s">
        <v>341</v>
      </c>
      <c r="C3">
        <v>8</v>
      </c>
      <c r="D3" s="1">
        <v>20</v>
      </c>
      <c r="E3" s="1">
        <f>Tabla7[[#This Row],[PRECIO]]*Tabla7[[#This Row],[CONTEO]]</f>
        <v>160</v>
      </c>
    </row>
    <row r="4" spans="1:6" hidden="1" x14ac:dyDescent="0.3">
      <c r="A4">
        <v>390002</v>
      </c>
      <c r="B4" t="s">
        <v>342</v>
      </c>
      <c r="D4" s="1"/>
      <c r="E4" s="1">
        <f>Tabla7[[#This Row],[PRECIO]]*Tabla7[[#This Row],[CONTEO]]</f>
        <v>0</v>
      </c>
    </row>
    <row r="5" spans="1:6" hidden="1" x14ac:dyDescent="0.3">
      <c r="A5">
        <v>390003</v>
      </c>
      <c r="B5" t="s">
        <v>343</v>
      </c>
      <c r="D5" s="1"/>
      <c r="E5" s="1">
        <f>Tabla7[[#This Row],[PRECIO]]*Tabla7[[#This Row],[CONTEO]]</f>
        <v>0</v>
      </c>
    </row>
    <row r="6" spans="1:6" hidden="1" x14ac:dyDescent="0.3">
      <c r="A6">
        <v>390004</v>
      </c>
      <c r="B6" t="s">
        <v>344</v>
      </c>
      <c r="D6" s="1"/>
      <c r="E6" s="1">
        <f>Tabla7[[#This Row],[PRECIO]]*Tabla7[[#This Row],[CONTEO]]</f>
        <v>0</v>
      </c>
    </row>
    <row r="7" spans="1:6" x14ac:dyDescent="0.3">
      <c r="A7">
        <v>390005</v>
      </c>
      <c r="B7" t="s">
        <v>345</v>
      </c>
      <c r="C7">
        <v>4</v>
      </c>
      <c r="D7" s="1">
        <v>20</v>
      </c>
      <c r="E7" s="1">
        <f>Tabla7[[#This Row],[PRECIO]]*Tabla7[[#This Row],[CONTEO]]</f>
        <v>80</v>
      </c>
    </row>
    <row r="8" spans="1:6" x14ac:dyDescent="0.3">
      <c r="D8" s="1"/>
      <c r="E8" s="1">
        <f>SUBTOTAL(109,Tabla7[TOTAL])</f>
        <v>240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677D0-8A97-42C3-B0FD-3C7401E9F29D}">
  <dimension ref="A1:F3"/>
  <sheetViews>
    <sheetView workbookViewId="0">
      <selection activeCell="F2" sqref="F2"/>
    </sheetView>
  </sheetViews>
  <sheetFormatPr baseColWidth="10" defaultRowHeight="14.4" x14ac:dyDescent="0.3"/>
  <cols>
    <col min="1" max="1" width="7.77734375" bestFit="1" customWidth="1"/>
    <col min="2" max="2" width="32.109375" bestFit="1" customWidth="1"/>
    <col min="3" max="3" width="10.109375" bestFit="1" customWidth="1"/>
    <col min="4" max="4" width="16.109375" bestFit="1" customWidth="1"/>
    <col min="5" max="5" width="8.77734375" bestFit="1" customWidth="1"/>
  </cols>
  <sheetData>
    <row r="1" spans="1:6" ht="31.8" x14ac:dyDescent="0.55000000000000004">
      <c r="A1" s="15" t="s">
        <v>347</v>
      </c>
      <c r="B1" s="15"/>
      <c r="C1" s="15"/>
      <c r="D1" s="15"/>
      <c r="E1" s="15"/>
      <c r="F1" s="16" t="s">
        <v>580</v>
      </c>
    </row>
    <row r="2" spans="1:6" x14ac:dyDescent="0.3">
      <c r="A2" s="5" t="s">
        <v>223</v>
      </c>
      <c r="B2" s="5" t="s">
        <v>348</v>
      </c>
      <c r="C2" s="5" t="s">
        <v>349</v>
      </c>
      <c r="D2" s="5" t="s">
        <v>350</v>
      </c>
      <c r="E2" s="5" t="s">
        <v>339</v>
      </c>
    </row>
    <row r="3" spans="1:6" x14ac:dyDescent="0.3">
      <c r="A3" s="6">
        <v>510011</v>
      </c>
      <c r="B3" s="6" t="s">
        <v>351</v>
      </c>
      <c r="C3" s="6">
        <v>6</v>
      </c>
      <c r="D3" s="7">
        <v>11</v>
      </c>
      <c r="E3" s="7">
        <f>D3*C3</f>
        <v>66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A905-5F51-44A1-ADAC-143E1B40B815}">
  <dimension ref="A1:F3"/>
  <sheetViews>
    <sheetView workbookViewId="0">
      <selection activeCell="F6" sqref="F6:F7"/>
    </sheetView>
  </sheetViews>
  <sheetFormatPr baseColWidth="10" defaultRowHeight="14.4" x14ac:dyDescent="0.3"/>
  <cols>
    <col min="1" max="1" width="6.6640625" bestFit="1" customWidth="1"/>
    <col min="2" max="2" width="30.6640625" bestFit="1" customWidth="1"/>
    <col min="3" max="3" width="7" bestFit="1" customWidth="1"/>
    <col min="4" max="4" width="13.5546875" bestFit="1" customWidth="1"/>
    <col min="5" max="5" width="9.77734375" bestFit="1" customWidth="1"/>
    <col min="6" max="6" width="11.88671875" bestFit="1" customWidth="1"/>
  </cols>
  <sheetData>
    <row r="1" spans="1:6" ht="31.8" x14ac:dyDescent="0.55000000000000004">
      <c r="A1" s="15" t="s">
        <v>352</v>
      </c>
      <c r="B1" s="15"/>
      <c r="C1" s="15"/>
      <c r="D1" s="15"/>
      <c r="E1" s="15"/>
      <c r="F1" s="16" t="s">
        <v>579</v>
      </c>
    </row>
    <row r="2" spans="1:6" x14ac:dyDescent="0.3">
      <c r="A2" s="5" t="s">
        <v>0</v>
      </c>
      <c r="B2" s="5" t="s">
        <v>1</v>
      </c>
      <c r="C2" s="5" t="s">
        <v>325</v>
      </c>
      <c r="D2" s="5" t="s">
        <v>353</v>
      </c>
      <c r="E2" s="5" t="s">
        <v>262</v>
      </c>
    </row>
    <row r="3" spans="1:6" x14ac:dyDescent="0.3">
      <c r="A3" s="6">
        <v>1152</v>
      </c>
      <c r="B3" s="6" t="s">
        <v>354</v>
      </c>
      <c r="C3" s="6">
        <v>1</v>
      </c>
      <c r="D3" s="7">
        <v>130</v>
      </c>
      <c r="E3" s="7">
        <f>D3*C3</f>
        <v>130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4F21-AE03-48ED-BC58-D35228B8425D}">
  <dimension ref="A1:J9"/>
  <sheetViews>
    <sheetView workbookViewId="0">
      <selection activeCell="D24" sqref="D24"/>
    </sheetView>
  </sheetViews>
  <sheetFormatPr baseColWidth="10" defaultRowHeight="14.4" x14ac:dyDescent="0.3"/>
  <cols>
    <col min="1" max="1" width="9.109375" bestFit="1" customWidth="1"/>
    <col min="2" max="2" width="29.109375" bestFit="1" customWidth="1"/>
    <col min="3" max="3" width="18.6640625" bestFit="1" customWidth="1"/>
    <col min="4" max="4" width="23.109375" bestFit="1" customWidth="1"/>
    <col min="5" max="5" width="10.5546875" bestFit="1" customWidth="1"/>
    <col min="6" max="6" width="12.44140625" bestFit="1" customWidth="1"/>
    <col min="7" max="7" width="13.77734375" bestFit="1" customWidth="1"/>
    <col min="8" max="8" width="15.44140625" bestFit="1" customWidth="1"/>
    <col min="9" max="9" width="11.21875" bestFit="1" customWidth="1"/>
  </cols>
  <sheetData>
    <row r="1" spans="1:10" ht="31.8" x14ac:dyDescent="0.55000000000000004">
      <c r="A1" s="14" t="s">
        <v>367</v>
      </c>
      <c r="B1" s="14"/>
      <c r="C1" s="14"/>
      <c r="D1" s="14"/>
      <c r="E1" s="14"/>
      <c r="F1" s="14"/>
      <c r="G1" s="14"/>
      <c r="H1" s="14"/>
      <c r="I1" s="14"/>
      <c r="J1" s="21" t="s">
        <v>581</v>
      </c>
    </row>
    <row r="2" spans="1:10" x14ac:dyDescent="0.3">
      <c r="A2" t="s">
        <v>0</v>
      </c>
      <c r="B2" t="s">
        <v>1</v>
      </c>
      <c r="C2" t="s">
        <v>355</v>
      </c>
      <c r="D2" t="s">
        <v>356</v>
      </c>
      <c r="E2" t="s">
        <v>573</v>
      </c>
      <c r="F2" t="s">
        <v>574</v>
      </c>
      <c r="G2" t="s">
        <v>568</v>
      </c>
      <c r="H2" t="s">
        <v>260</v>
      </c>
      <c r="I2" t="s">
        <v>262</v>
      </c>
    </row>
    <row r="3" spans="1:10" x14ac:dyDescent="0.3">
      <c r="A3">
        <v>190001</v>
      </c>
      <c r="B3" t="s">
        <v>357</v>
      </c>
      <c r="C3" t="s">
        <v>358</v>
      </c>
      <c r="D3" t="s">
        <v>359</v>
      </c>
      <c r="E3" s="9">
        <v>10</v>
      </c>
      <c r="F3" s="9">
        <v>1</v>
      </c>
      <c r="G3">
        <f>Tabla8[[#This Row],[Almacen]]+Tabla8[[#This Row],[Showroom]]</f>
        <v>11</v>
      </c>
      <c r="H3" s="1">
        <v>45</v>
      </c>
      <c r="I3" s="1">
        <f>Tabla8[[#This Row],[Precio unitario]]*Tabla8[[#This Row],[Total conteo]]</f>
        <v>495</v>
      </c>
    </row>
    <row r="4" spans="1:10" s="9" customFormat="1" x14ac:dyDescent="0.3">
      <c r="A4" s="9">
        <v>190002</v>
      </c>
      <c r="B4" s="9" t="s">
        <v>360</v>
      </c>
      <c r="C4" s="9" t="s">
        <v>358</v>
      </c>
      <c r="D4" s="9" t="s">
        <v>359</v>
      </c>
      <c r="E4" s="9">
        <v>3</v>
      </c>
      <c r="F4" s="9">
        <v>1</v>
      </c>
      <c r="G4" s="9">
        <f>Tabla8[[#This Row],[Almacen]]+Tabla8[[#This Row],[Showroom]]</f>
        <v>4</v>
      </c>
      <c r="H4" s="10">
        <v>40</v>
      </c>
      <c r="I4" s="10">
        <f>Tabla8[[#This Row],[Precio unitario]]*Tabla8[[#This Row],[Total conteo]]</f>
        <v>160</v>
      </c>
    </row>
    <row r="5" spans="1:10" x14ac:dyDescent="0.3">
      <c r="A5">
        <v>190003</v>
      </c>
      <c r="B5" t="s">
        <v>361</v>
      </c>
      <c r="C5" t="s">
        <v>358</v>
      </c>
      <c r="D5" t="s">
        <v>359</v>
      </c>
      <c r="E5" s="9">
        <v>12</v>
      </c>
      <c r="F5" s="9">
        <v>1</v>
      </c>
      <c r="G5">
        <f>Tabla8[[#This Row],[Almacen]]+Tabla8[[#This Row],[Showroom]]</f>
        <v>13</v>
      </c>
      <c r="H5" s="1">
        <v>25</v>
      </c>
      <c r="I5" s="1">
        <f>Tabla8[[#This Row],[Precio unitario]]*Tabla8[[#This Row],[Total conteo]]</f>
        <v>325</v>
      </c>
    </row>
    <row r="6" spans="1:10" x14ac:dyDescent="0.3">
      <c r="A6">
        <v>190004</v>
      </c>
      <c r="B6" t="s">
        <v>362</v>
      </c>
      <c r="C6" t="s">
        <v>358</v>
      </c>
      <c r="D6" t="s">
        <v>359</v>
      </c>
      <c r="E6" s="9">
        <v>14</v>
      </c>
      <c r="F6" s="9">
        <v>5</v>
      </c>
      <c r="G6">
        <f>Tabla8[[#This Row],[Almacen]]+Tabla8[[#This Row],[Showroom]]</f>
        <v>19</v>
      </c>
      <c r="H6" s="1">
        <v>35</v>
      </c>
      <c r="I6" s="1">
        <f>Tabla8[[#This Row],[Precio unitario]]*Tabla8[[#This Row],[Total conteo]]</f>
        <v>665</v>
      </c>
    </row>
    <row r="7" spans="1:10" x14ac:dyDescent="0.3">
      <c r="A7">
        <v>190005</v>
      </c>
      <c r="B7" t="s">
        <v>363</v>
      </c>
      <c r="C7" t="s">
        <v>364</v>
      </c>
      <c r="D7" t="s">
        <v>359</v>
      </c>
      <c r="E7" s="9">
        <v>10</v>
      </c>
      <c r="F7" s="9">
        <v>11</v>
      </c>
      <c r="G7">
        <f>Tabla8[[#This Row],[Almacen]]+Tabla8[[#This Row],[Showroom]]</f>
        <v>21</v>
      </c>
      <c r="H7" s="1">
        <v>75</v>
      </c>
      <c r="I7" s="1">
        <f>Tabla8[[#This Row],[Precio unitario]]*Tabla8[[#This Row],[Total conteo]]</f>
        <v>1575</v>
      </c>
    </row>
    <row r="8" spans="1:10" x14ac:dyDescent="0.3">
      <c r="A8">
        <v>190006</v>
      </c>
      <c r="B8" t="s">
        <v>365</v>
      </c>
      <c r="C8" t="s">
        <v>358</v>
      </c>
      <c r="D8" t="s">
        <v>359</v>
      </c>
      <c r="E8" s="9">
        <v>14</v>
      </c>
      <c r="F8" s="9">
        <v>1</v>
      </c>
      <c r="G8">
        <f>Tabla8[[#This Row],[Almacen]]+Tabla8[[#This Row],[Showroom]]</f>
        <v>15</v>
      </c>
      <c r="H8" s="1">
        <v>2</v>
      </c>
      <c r="I8" s="1">
        <f>Tabla8[[#This Row],[Precio unitario]]*Tabla8[[#This Row],[Total conteo]]</f>
        <v>30</v>
      </c>
    </row>
    <row r="9" spans="1:10" s="9" customFormat="1" x14ac:dyDescent="0.3">
      <c r="A9" s="9">
        <v>190007</v>
      </c>
      <c r="B9" s="9" t="s">
        <v>366</v>
      </c>
      <c r="C9" s="9" t="s">
        <v>358</v>
      </c>
      <c r="D9" s="9" t="s">
        <v>359</v>
      </c>
      <c r="E9" s="9">
        <v>10</v>
      </c>
      <c r="F9" s="9">
        <v>1</v>
      </c>
      <c r="G9" s="9">
        <f>Tabla8[[#This Row],[Almacen]]+Tabla8[[#This Row],[Showroom]]</f>
        <v>11</v>
      </c>
      <c r="H9" s="10">
        <v>9</v>
      </c>
      <c r="I9" s="10">
        <f>Tabla8[[#This Row],[Precio unitario]]*Tabla8[[#This Row],[Total conteo]]</f>
        <v>99</v>
      </c>
    </row>
  </sheetData>
  <mergeCells count="1">
    <mergeCell ref="A1:I1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FF8C-FA61-426A-A448-FA98CD15A06E}">
  <dimension ref="A1:F8"/>
  <sheetViews>
    <sheetView workbookViewId="0">
      <selection activeCell="G12" sqref="G12:G13"/>
    </sheetView>
  </sheetViews>
  <sheetFormatPr baseColWidth="10" defaultRowHeight="14.4" x14ac:dyDescent="0.3"/>
  <cols>
    <col min="1" max="1" width="9.109375" bestFit="1" customWidth="1"/>
    <col min="2" max="2" width="50" bestFit="1" customWidth="1"/>
    <col min="3" max="3" width="9.109375" bestFit="1" customWidth="1"/>
    <col min="4" max="4" width="16.21875" bestFit="1" customWidth="1"/>
    <col min="5" max="5" width="8.77734375" hidden="1" customWidth="1"/>
    <col min="6" max="6" width="11.88671875" bestFit="1" customWidth="1"/>
  </cols>
  <sheetData>
    <row r="1" spans="1:6" ht="31.8" x14ac:dyDescent="0.55000000000000004">
      <c r="A1" s="14" t="s">
        <v>569</v>
      </c>
      <c r="B1" s="14"/>
      <c r="C1" s="14"/>
      <c r="D1" s="14"/>
      <c r="E1" s="14"/>
      <c r="F1" s="16" t="s">
        <v>582</v>
      </c>
    </row>
    <row r="2" spans="1:6" x14ac:dyDescent="0.3">
      <c r="A2" t="s">
        <v>0</v>
      </c>
      <c r="B2" t="s">
        <v>1</v>
      </c>
      <c r="C2" t="s">
        <v>368</v>
      </c>
      <c r="D2" t="s">
        <v>260</v>
      </c>
      <c r="E2" t="s">
        <v>262</v>
      </c>
    </row>
    <row r="3" spans="1:6" x14ac:dyDescent="0.3">
      <c r="A3">
        <v>110003</v>
      </c>
      <c r="B3" t="s">
        <v>369</v>
      </c>
      <c r="C3">
        <v>0</v>
      </c>
      <c r="D3" s="1"/>
      <c r="E3" s="1">
        <f>Tabla9[[#This Row],[Precio unitario]]*Tabla9[[#This Row],[conteo]]</f>
        <v>0</v>
      </c>
    </row>
    <row r="4" spans="1:6" x14ac:dyDescent="0.3">
      <c r="A4">
        <v>110001</v>
      </c>
      <c r="B4" t="s">
        <v>370</v>
      </c>
      <c r="C4">
        <v>0</v>
      </c>
      <c r="D4" s="1"/>
      <c r="E4" s="1">
        <f>Tabla9[[#This Row],[Precio unitario]]*Tabla9[[#This Row],[conteo]]</f>
        <v>0</v>
      </c>
    </row>
    <row r="5" spans="1:6" x14ac:dyDescent="0.3">
      <c r="A5">
        <v>110002</v>
      </c>
      <c r="B5" t="s">
        <v>371</v>
      </c>
      <c r="C5">
        <v>0</v>
      </c>
      <c r="D5" s="1"/>
      <c r="E5" s="1">
        <f>Tabla9[[#This Row],[Precio unitario]]*Tabla9[[#This Row],[conteo]]</f>
        <v>0</v>
      </c>
    </row>
    <row r="6" spans="1:6" x14ac:dyDescent="0.3">
      <c r="A6">
        <v>110008</v>
      </c>
      <c r="B6" t="s">
        <v>372</v>
      </c>
      <c r="C6">
        <v>2</v>
      </c>
      <c r="D6" s="1">
        <v>23</v>
      </c>
      <c r="E6" s="1">
        <f>Tabla9[[#This Row],[Precio unitario]]*Tabla9[[#This Row],[conteo]]</f>
        <v>46</v>
      </c>
    </row>
    <row r="7" spans="1:6" x14ac:dyDescent="0.3">
      <c r="A7">
        <v>110009</v>
      </c>
      <c r="B7" t="s">
        <v>373</v>
      </c>
      <c r="C7">
        <v>1</v>
      </c>
      <c r="D7" s="1">
        <v>23</v>
      </c>
      <c r="E7" s="1">
        <f>Tabla9[[#This Row],[Precio unitario]]*Tabla9[[#This Row],[conteo]]</f>
        <v>23</v>
      </c>
    </row>
    <row r="8" spans="1:6" x14ac:dyDescent="0.3">
      <c r="D8" s="1"/>
      <c r="E8" s="1">
        <f>SUBTOTAL(109,Tabla9[Total])</f>
        <v>69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6067-24C7-47F9-A31F-2EE4F0FE308C}">
  <dimension ref="A1:E3"/>
  <sheetViews>
    <sheetView workbookViewId="0">
      <selection activeCell="C7" sqref="C7"/>
    </sheetView>
  </sheetViews>
  <sheetFormatPr baseColWidth="10" defaultRowHeight="14.4" x14ac:dyDescent="0.3"/>
  <sheetData>
    <row r="1" spans="1:5" ht="28.8" x14ac:dyDescent="0.55000000000000004">
      <c r="A1" s="15" t="s">
        <v>374</v>
      </c>
      <c r="B1" s="15"/>
      <c r="C1" s="15"/>
      <c r="D1" s="15"/>
      <c r="E1" s="15"/>
    </row>
    <row r="2" spans="1:5" x14ac:dyDescent="0.3">
      <c r="A2" s="5" t="s">
        <v>0</v>
      </c>
      <c r="B2" s="5" t="s">
        <v>1</v>
      </c>
      <c r="C2" s="5" t="s">
        <v>325</v>
      </c>
      <c r="D2" s="5" t="s">
        <v>353</v>
      </c>
      <c r="E2" s="5" t="s">
        <v>262</v>
      </c>
    </row>
    <row r="3" spans="1:5" x14ac:dyDescent="0.3">
      <c r="A3" s="6">
        <v>240000</v>
      </c>
      <c r="B3" s="6" t="s">
        <v>375</v>
      </c>
      <c r="C3" s="12">
        <v>16</v>
      </c>
      <c r="D3" s="7">
        <v>20</v>
      </c>
      <c r="E3" s="7">
        <f>D3*C3</f>
        <v>320</v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79AB-8DAD-40FD-BA64-C4736843491F}">
  <dimension ref="A1:F3"/>
  <sheetViews>
    <sheetView workbookViewId="0">
      <selection activeCell="F9" sqref="F9"/>
    </sheetView>
  </sheetViews>
  <sheetFormatPr baseColWidth="10" defaultRowHeight="14.4" x14ac:dyDescent="0.3"/>
  <cols>
    <col min="1" max="1" width="7" bestFit="1" customWidth="1"/>
    <col min="2" max="2" width="37.5546875" bestFit="1" customWidth="1"/>
    <col min="3" max="3" width="7" bestFit="1" customWidth="1"/>
    <col min="4" max="4" width="13.5546875" bestFit="1" customWidth="1"/>
    <col min="5" max="5" width="9.77734375" bestFit="1" customWidth="1"/>
    <col min="6" max="6" width="22.88671875" bestFit="1" customWidth="1"/>
  </cols>
  <sheetData>
    <row r="1" spans="1:6" ht="28.8" x14ac:dyDescent="0.55000000000000004">
      <c r="A1" s="15" t="s">
        <v>376</v>
      </c>
      <c r="B1" s="15"/>
      <c r="C1" s="15"/>
      <c r="D1" s="15"/>
      <c r="E1" s="15"/>
    </row>
    <row r="2" spans="1:6" x14ac:dyDescent="0.3">
      <c r="A2" s="5" t="s">
        <v>0</v>
      </c>
      <c r="B2" s="5" t="s">
        <v>1</v>
      </c>
      <c r="C2" s="5" t="s">
        <v>325</v>
      </c>
      <c r="D2" s="5" t="s">
        <v>353</v>
      </c>
      <c r="E2" s="5" t="s">
        <v>262</v>
      </c>
      <c r="F2" s="5" t="s">
        <v>565</v>
      </c>
    </row>
    <row r="3" spans="1:6" x14ac:dyDescent="0.3">
      <c r="A3" s="6">
        <v>280005</v>
      </c>
      <c r="B3" s="8" t="s">
        <v>377</v>
      </c>
      <c r="C3" s="6">
        <v>2</v>
      </c>
      <c r="D3" s="7">
        <v>80</v>
      </c>
      <c r="E3" s="7">
        <v>160</v>
      </c>
      <c r="F3" s="6" t="s">
        <v>585</v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37665-1E06-4627-B9A0-6186FC7CF6FE}">
  <dimension ref="A1:F38"/>
  <sheetViews>
    <sheetView workbookViewId="0">
      <selection activeCell="F1" sqref="F1"/>
    </sheetView>
  </sheetViews>
  <sheetFormatPr baseColWidth="10" defaultRowHeight="14.4" x14ac:dyDescent="0.3"/>
  <cols>
    <col min="1" max="1" width="8.77734375" customWidth="1"/>
    <col min="2" max="2" width="110.5546875" bestFit="1" customWidth="1"/>
    <col min="3" max="3" width="9" customWidth="1"/>
    <col min="4" max="4" width="15.44140625" bestFit="1" customWidth="1"/>
    <col min="5" max="5" width="11.33203125" hidden="1" customWidth="1"/>
    <col min="6" max="6" width="11.88671875" bestFit="1" customWidth="1"/>
  </cols>
  <sheetData>
    <row r="1" spans="1:6" ht="31.8" x14ac:dyDescent="0.55000000000000004">
      <c r="A1" s="14" t="s">
        <v>570</v>
      </c>
      <c r="B1" s="14"/>
      <c r="C1" s="14"/>
      <c r="D1" s="14"/>
      <c r="E1" s="14"/>
      <c r="F1" s="16" t="s">
        <v>582</v>
      </c>
    </row>
    <row r="2" spans="1:6" x14ac:dyDescent="0.3">
      <c r="A2" t="s">
        <v>0</v>
      </c>
      <c r="B2" t="s">
        <v>263</v>
      </c>
      <c r="C2" t="s">
        <v>325</v>
      </c>
      <c r="D2" t="s">
        <v>260</v>
      </c>
      <c r="E2" t="s">
        <v>339</v>
      </c>
    </row>
    <row r="3" spans="1:6" x14ac:dyDescent="0.3">
      <c r="A3">
        <v>230001</v>
      </c>
      <c r="B3" t="s">
        <v>378</v>
      </c>
      <c r="C3">
        <v>10</v>
      </c>
      <c r="D3" s="1">
        <v>79</v>
      </c>
      <c r="E3" s="1">
        <f>Tabla10[[#This Row],[Precio unitario]]*Tabla10[[#This Row],[Conteo]]</f>
        <v>790</v>
      </c>
    </row>
    <row r="4" spans="1:6" hidden="1" x14ac:dyDescent="0.3">
      <c r="A4">
        <v>230004</v>
      </c>
      <c r="B4" t="s">
        <v>379</v>
      </c>
      <c r="D4" s="1"/>
      <c r="E4" s="1">
        <f>Tabla10[[#This Row],[Precio unitario]]*Tabla10[[#This Row],[Conteo]]</f>
        <v>0</v>
      </c>
    </row>
    <row r="5" spans="1:6" x14ac:dyDescent="0.3">
      <c r="A5">
        <v>230005</v>
      </c>
      <c r="B5" t="s">
        <v>380</v>
      </c>
      <c r="C5">
        <v>2</v>
      </c>
      <c r="D5" s="1">
        <v>268</v>
      </c>
      <c r="E5" s="1">
        <f>Tabla10[[#This Row],[Precio unitario]]*Tabla10[[#This Row],[Conteo]]</f>
        <v>536</v>
      </c>
    </row>
    <row r="6" spans="1:6" hidden="1" x14ac:dyDescent="0.3">
      <c r="A6">
        <v>230007</v>
      </c>
      <c r="B6" t="s">
        <v>381</v>
      </c>
      <c r="C6">
        <v>0</v>
      </c>
      <c r="D6" s="1">
        <v>234</v>
      </c>
      <c r="E6" s="1">
        <f>Tabla10[[#This Row],[Precio unitario]]*Tabla10[[#This Row],[Conteo]]</f>
        <v>0</v>
      </c>
    </row>
    <row r="7" spans="1:6" hidden="1" x14ac:dyDescent="0.3">
      <c r="A7">
        <v>230009</v>
      </c>
      <c r="B7" t="s">
        <v>382</v>
      </c>
      <c r="D7" s="1"/>
      <c r="E7" s="1">
        <f>Tabla10[[#This Row],[Precio unitario]]*Tabla10[[#This Row],[Conteo]]</f>
        <v>0</v>
      </c>
    </row>
    <row r="8" spans="1:6" hidden="1" x14ac:dyDescent="0.3">
      <c r="A8">
        <v>230012</v>
      </c>
      <c r="B8" t="s">
        <v>383</v>
      </c>
      <c r="D8" s="1"/>
      <c r="E8" s="1">
        <f>Tabla10[[#This Row],[Precio unitario]]*Tabla10[[#This Row],[Conteo]]</f>
        <v>0</v>
      </c>
    </row>
    <row r="9" spans="1:6" s="9" customFormat="1" hidden="1" x14ac:dyDescent="0.3">
      <c r="A9" s="9">
        <v>230014</v>
      </c>
      <c r="B9" s="9" t="s">
        <v>384</v>
      </c>
      <c r="D9" s="10">
        <v>126</v>
      </c>
      <c r="E9" s="10">
        <f>Tabla10[[#This Row],[Precio unitario]]*Tabla10[[#This Row],[Conteo]]</f>
        <v>0</v>
      </c>
    </row>
    <row r="10" spans="1:6" s="9" customFormat="1" x14ac:dyDescent="0.3">
      <c r="A10" s="9">
        <v>230016</v>
      </c>
      <c r="B10" s="9" t="s">
        <v>385</v>
      </c>
      <c r="C10" s="9">
        <v>1</v>
      </c>
      <c r="D10" s="10">
        <v>264</v>
      </c>
      <c r="E10" s="10">
        <f>Tabla10[[#This Row],[Precio unitario]]*Tabla10[[#This Row],[Conteo]]</f>
        <v>264</v>
      </c>
    </row>
    <row r="11" spans="1:6" x14ac:dyDescent="0.3">
      <c r="A11">
        <v>230021</v>
      </c>
      <c r="B11" t="s">
        <v>386</v>
      </c>
      <c r="C11">
        <v>5</v>
      </c>
      <c r="D11" s="1">
        <v>195</v>
      </c>
      <c r="E11" s="1">
        <f>Tabla10[[#This Row],[Precio unitario]]*Tabla10[[#This Row],[Conteo]]</f>
        <v>975</v>
      </c>
    </row>
    <row r="12" spans="1:6" hidden="1" x14ac:dyDescent="0.3">
      <c r="A12">
        <v>230023</v>
      </c>
      <c r="B12" t="s">
        <v>387</v>
      </c>
      <c r="D12" s="1"/>
      <c r="E12" s="1">
        <f>Tabla10[[#This Row],[Precio unitario]]*Tabla10[[#This Row],[Conteo]]</f>
        <v>0</v>
      </c>
    </row>
    <row r="13" spans="1:6" hidden="1" x14ac:dyDescent="0.3">
      <c r="A13">
        <v>230026</v>
      </c>
      <c r="B13" t="s">
        <v>388</v>
      </c>
      <c r="D13" s="1"/>
      <c r="E13" s="1">
        <f>Tabla10[[#This Row],[Precio unitario]]*Tabla10[[#This Row],[Conteo]]</f>
        <v>0</v>
      </c>
    </row>
    <row r="14" spans="1:6" x14ac:dyDescent="0.3">
      <c r="A14">
        <v>230028</v>
      </c>
      <c r="B14" t="s">
        <v>389</v>
      </c>
      <c r="C14">
        <v>1</v>
      </c>
      <c r="D14" s="1">
        <v>205</v>
      </c>
      <c r="E14" s="1">
        <f>Tabla10[[#This Row],[Precio unitario]]*Tabla10[[#This Row],[Conteo]]</f>
        <v>205</v>
      </c>
    </row>
    <row r="15" spans="1:6" hidden="1" x14ac:dyDescent="0.3">
      <c r="A15">
        <v>230029</v>
      </c>
      <c r="B15" t="s">
        <v>390</v>
      </c>
      <c r="D15" s="1"/>
      <c r="E15" s="1">
        <f>Tabla10[[#This Row],[Precio unitario]]*Tabla10[[#This Row],[Conteo]]</f>
        <v>0</v>
      </c>
    </row>
    <row r="16" spans="1:6" hidden="1" x14ac:dyDescent="0.3">
      <c r="A16">
        <v>230032</v>
      </c>
      <c r="B16" t="s">
        <v>391</v>
      </c>
      <c r="D16" s="1"/>
      <c r="E16" s="1">
        <f>Tabla10[[#This Row],[Precio unitario]]*Tabla10[[#This Row],[Conteo]]</f>
        <v>0</v>
      </c>
    </row>
    <row r="17" spans="1:5" hidden="1" x14ac:dyDescent="0.3">
      <c r="A17">
        <v>230039</v>
      </c>
      <c r="B17" t="s">
        <v>392</v>
      </c>
      <c r="D17" s="1"/>
      <c r="E17" s="1">
        <f>Tabla10[[#This Row],[Precio unitario]]*Tabla10[[#This Row],[Conteo]]</f>
        <v>0</v>
      </c>
    </row>
    <row r="18" spans="1:5" x14ac:dyDescent="0.3">
      <c r="A18">
        <v>230042</v>
      </c>
      <c r="B18" t="s">
        <v>393</v>
      </c>
      <c r="C18">
        <v>4</v>
      </c>
      <c r="D18" s="1">
        <v>165</v>
      </c>
      <c r="E18" s="1">
        <f>Tabla10[[#This Row],[Precio unitario]]*Tabla10[[#This Row],[Conteo]]</f>
        <v>660</v>
      </c>
    </row>
    <row r="19" spans="1:5" hidden="1" x14ac:dyDescent="0.3">
      <c r="A19">
        <v>230043</v>
      </c>
      <c r="B19" t="s">
        <v>394</v>
      </c>
      <c r="D19" s="1"/>
      <c r="E19" s="1">
        <f>Tabla10[[#This Row],[Precio unitario]]*Tabla10[[#This Row],[Conteo]]</f>
        <v>0</v>
      </c>
    </row>
    <row r="20" spans="1:5" hidden="1" x14ac:dyDescent="0.3">
      <c r="A20">
        <v>230045</v>
      </c>
      <c r="B20" t="s">
        <v>395</v>
      </c>
      <c r="D20" s="1"/>
      <c r="E20" s="1">
        <f>Tabla10[[#This Row],[Precio unitario]]*Tabla10[[#This Row],[Conteo]]</f>
        <v>0</v>
      </c>
    </row>
    <row r="21" spans="1:5" hidden="1" x14ac:dyDescent="0.3">
      <c r="A21">
        <v>230048</v>
      </c>
      <c r="B21" t="s">
        <v>396</v>
      </c>
      <c r="D21" s="1"/>
      <c r="E21" s="1">
        <f>Tabla10[[#This Row],[Precio unitario]]*Tabla10[[#This Row],[Conteo]]</f>
        <v>0</v>
      </c>
    </row>
    <row r="22" spans="1:5" hidden="1" x14ac:dyDescent="0.3">
      <c r="A22">
        <v>230051</v>
      </c>
      <c r="B22" t="s">
        <v>397</v>
      </c>
      <c r="D22" s="1"/>
      <c r="E22" s="1">
        <f>Tabla10[[#This Row],[Precio unitario]]*Tabla10[[#This Row],[Conteo]]</f>
        <v>0</v>
      </c>
    </row>
    <row r="23" spans="1:5" x14ac:dyDescent="0.3">
      <c r="A23">
        <v>230052</v>
      </c>
      <c r="B23" t="s">
        <v>398</v>
      </c>
      <c r="C23">
        <v>6</v>
      </c>
      <c r="D23" s="1">
        <v>62</v>
      </c>
      <c r="E23" s="1">
        <f>Tabla10[[#This Row],[Precio unitario]]*Tabla10[[#This Row],[Conteo]]</f>
        <v>372</v>
      </c>
    </row>
    <row r="24" spans="1:5" hidden="1" x14ac:dyDescent="0.3">
      <c r="A24">
        <v>230054</v>
      </c>
      <c r="B24" t="s">
        <v>399</v>
      </c>
      <c r="C24">
        <v>0</v>
      </c>
      <c r="D24" s="1">
        <v>162</v>
      </c>
      <c r="E24" s="1">
        <f>Tabla10[[#This Row],[Precio unitario]]*Tabla10[[#This Row],[Conteo]]</f>
        <v>0</v>
      </c>
    </row>
    <row r="25" spans="1:5" hidden="1" x14ac:dyDescent="0.3">
      <c r="A25">
        <v>230055</v>
      </c>
      <c r="B25" t="s">
        <v>400</v>
      </c>
      <c r="D25" s="1"/>
      <c r="E25" s="1">
        <f>Tabla10[[#This Row],[Precio unitario]]*Tabla10[[#This Row],[Conteo]]</f>
        <v>0</v>
      </c>
    </row>
    <row r="26" spans="1:5" hidden="1" x14ac:dyDescent="0.3">
      <c r="A26">
        <v>230057</v>
      </c>
      <c r="B26" t="s">
        <v>401</v>
      </c>
      <c r="D26" s="1"/>
      <c r="E26" s="1">
        <f>Tabla10[[#This Row],[Precio unitario]]*Tabla10[[#This Row],[Conteo]]</f>
        <v>0</v>
      </c>
    </row>
    <row r="27" spans="1:5" x14ac:dyDescent="0.3">
      <c r="A27">
        <v>230059</v>
      </c>
      <c r="B27" t="s">
        <v>402</v>
      </c>
      <c r="C27">
        <v>1</v>
      </c>
      <c r="D27" s="1">
        <v>297</v>
      </c>
      <c r="E27" s="1">
        <f>Tabla10[[#This Row],[Precio unitario]]*Tabla10[[#This Row],[Conteo]]</f>
        <v>297</v>
      </c>
    </row>
    <row r="28" spans="1:5" hidden="1" x14ac:dyDescent="0.3">
      <c r="A28">
        <v>230062</v>
      </c>
      <c r="B28" t="s">
        <v>403</v>
      </c>
      <c r="D28" s="1"/>
      <c r="E28" s="1">
        <f>Tabla10[[#This Row],[Precio unitario]]*Tabla10[[#This Row],[Conteo]]</f>
        <v>0</v>
      </c>
    </row>
    <row r="29" spans="1:5" hidden="1" x14ac:dyDescent="0.3">
      <c r="A29">
        <v>230065</v>
      </c>
      <c r="B29" t="s">
        <v>404</v>
      </c>
      <c r="D29" s="1"/>
      <c r="E29" s="1">
        <f>Tabla10[[#This Row],[Precio unitario]]*Tabla10[[#This Row],[Conteo]]</f>
        <v>0</v>
      </c>
    </row>
    <row r="30" spans="1:5" hidden="1" x14ac:dyDescent="0.3">
      <c r="A30">
        <v>230067</v>
      </c>
      <c r="B30" t="s">
        <v>405</v>
      </c>
      <c r="D30" s="1"/>
      <c r="E30" s="1">
        <f>Tabla10[[#This Row],[Precio unitario]]*Tabla10[[#This Row],[Conteo]]</f>
        <v>0</v>
      </c>
    </row>
    <row r="31" spans="1:5" hidden="1" x14ac:dyDescent="0.3">
      <c r="A31">
        <v>230068</v>
      </c>
      <c r="B31" t="s">
        <v>406</v>
      </c>
      <c r="D31" s="1"/>
      <c r="E31" s="1">
        <f>Tabla10[[#This Row],[Precio unitario]]*Tabla10[[#This Row],[Conteo]]</f>
        <v>0</v>
      </c>
    </row>
    <row r="32" spans="1:5" x14ac:dyDescent="0.3">
      <c r="A32">
        <v>230069</v>
      </c>
      <c r="B32" t="s">
        <v>407</v>
      </c>
      <c r="C32">
        <v>7</v>
      </c>
      <c r="D32" s="1">
        <v>10</v>
      </c>
      <c r="E32" s="1">
        <f>Tabla10[[#This Row],[Precio unitario]]*Tabla10[[#This Row],[Conteo]]</f>
        <v>70</v>
      </c>
    </row>
    <row r="33" spans="1:5" x14ac:dyDescent="0.3">
      <c r="A33">
        <v>230070</v>
      </c>
      <c r="B33" t="s">
        <v>408</v>
      </c>
      <c r="C33">
        <v>10</v>
      </c>
      <c r="D33" s="1">
        <v>25</v>
      </c>
      <c r="E33" s="1">
        <f>Tabla10[[#This Row],[Precio unitario]]*Tabla10[[#This Row],[Conteo]]</f>
        <v>250</v>
      </c>
    </row>
    <row r="34" spans="1:5" x14ac:dyDescent="0.3">
      <c r="A34">
        <v>230071</v>
      </c>
      <c r="B34" t="s">
        <v>409</v>
      </c>
      <c r="C34">
        <v>14</v>
      </c>
      <c r="D34" s="1">
        <v>10</v>
      </c>
      <c r="E34" s="1">
        <f>Tabla10[[#This Row],[Precio unitario]]*Tabla10[[#This Row],[Conteo]]</f>
        <v>140</v>
      </c>
    </row>
    <row r="35" spans="1:5" hidden="1" x14ac:dyDescent="0.3">
      <c r="A35">
        <v>230072</v>
      </c>
      <c r="B35" t="s">
        <v>410</v>
      </c>
      <c r="D35" s="1"/>
      <c r="E35" s="1">
        <f>Tabla10[[#This Row],[Precio unitario]]*Tabla10[[#This Row],[Conteo]]</f>
        <v>0</v>
      </c>
    </row>
    <row r="36" spans="1:5" hidden="1" x14ac:dyDescent="0.3">
      <c r="A36">
        <v>230074</v>
      </c>
      <c r="B36" t="s">
        <v>411</v>
      </c>
      <c r="C36">
        <v>0</v>
      </c>
      <c r="D36" s="1">
        <v>265</v>
      </c>
      <c r="E36" s="1">
        <f>Tabla10[[#This Row],[Precio unitario]]*Tabla10[[#This Row],[Conteo]]</f>
        <v>0</v>
      </c>
    </row>
    <row r="37" spans="1:5" x14ac:dyDescent="0.3">
      <c r="A37">
        <v>230075</v>
      </c>
      <c r="B37" t="s">
        <v>412</v>
      </c>
      <c r="C37">
        <v>2</v>
      </c>
      <c r="D37" s="1">
        <v>105</v>
      </c>
      <c r="E37" s="1">
        <f>Tabla10[[#This Row],[Precio unitario]]*Tabla10[[#This Row],[Conteo]]</f>
        <v>210</v>
      </c>
    </row>
    <row r="38" spans="1:5" x14ac:dyDescent="0.3">
      <c r="D38" s="1"/>
      <c r="E38" s="1">
        <f>SUBTOTAL(109,Tabla10[TOTAL])</f>
        <v>4769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CE99-2F9A-457A-AA73-338B2FBA9160}">
  <dimension ref="A1:H31"/>
  <sheetViews>
    <sheetView workbookViewId="0">
      <selection activeCell="H32" sqref="H32:H33"/>
    </sheetView>
  </sheetViews>
  <sheetFormatPr baseColWidth="10" defaultRowHeight="14.4" x14ac:dyDescent="0.3"/>
  <cols>
    <col min="1" max="1" width="9.109375" bestFit="1" customWidth="1"/>
    <col min="2" max="2" width="59.88671875" bestFit="1" customWidth="1"/>
    <col min="3" max="3" width="10.109375" bestFit="1" customWidth="1"/>
    <col min="4" max="4" width="15.44140625" bestFit="1" customWidth="1"/>
    <col min="5" max="5" width="14" hidden="1" customWidth="1"/>
    <col min="6" max="6" width="15.44140625" hidden="1" customWidth="1"/>
    <col min="7" max="7" width="19.21875" style="4" customWidth="1"/>
    <col min="8" max="8" width="12.33203125" bestFit="1" customWidth="1"/>
  </cols>
  <sheetData>
    <row r="1" spans="1:8" ht="31.8" x14ac:dyDescent="0.55000000000000004">
      <c r="A1" s="14" t="s">
        <v>571</v>
      </c>
      <c r="B1" s="14"/>
      <c r="C1" s="14"/>
      <c r="D1" s="14"/>
      <c r="E1" s="14"/>
      <c r="F1" s="14"/>
      <c r="H1" s="16" t="s">
        <v>583</v>
      </c>
    </row>
    <row r="2" spans="1:8" x14ac:dyDescent="0.3">
      <c r="A2" t="s">
        <v>0</v>
      </c>
      <c r="B2" t="s">
        <v>263</v>
      </c>
      <c r="C2" t="s">
        <v>413</v>
      </c>
      <c r="D2" t="s">
        <v>260</v>
      </c>
      <c r="E2" t="s">
        <v>339</v>
      </c>
      <c r="F2" t="s">
        <v>414</v>
      </c>
      <c r="G2" s="4" t="s">
        <v>576</v>
      </c>
    </row>
    <row r="3" spans="1:8" hidden="1" x14ac:dyDescent="0.3">
      <c r="A3">
        <v>200007</v>
      </c>
      <c r="B3" t="s">
        <v>415</v>
      </c>
      <c r="D3" s="1"/>
      <c r="E3" s="1">
        <f>Tabla11[[#This Row],[Precio unitario]]*Tabla11[[#This Row],[conteo2]]</f>
        <v>0</v>
      </c>
      <c r="G3" s="4">
        <f>VLOOKUP(Tabla11[[#This Row],[Código]], [1]!Tabla11[#Data], 7,)</f>
        <v>0</v>
      </c>
    </row>
    <row r="4" spans="1:8" hidden="1" x14ac:dyDescent="0.3">
      <c r="A4">
        <v>200008</v>
      </c>
      <c r="B4" t="s">
        <v>416</v>
      </c>
      <c r="D4" s="1"/>
      <c r="E4" s="1">
        <f>Tabla11[[#This Row],[Precio unitario]]*Tabla11[[#This Row],[conteo2]]</f>
        <v>0</v>
      </c>
      <c r="G4" s="4">
        <f>VLOOKUP(Tabla11[[#This Row],[Código]], [1]!Tabla11[#Data], 7,)</f>
        <v>0</v>
      </c>
    </row>
    <row r="5" spans="1:8" hidden="1" x14ac:dyDescent="0.3">
      <c r="A5">
        <v>200010</v>
      </c>
      <c r="B5" t="s">
        <v>417</v>
      </c>
      <c r="D5" s="1"/>
      <c r="E5" s="1">
        <f>Tabla11[[#This Row],[Precio unitario]]*Tabla11[[#This Row],[conteo2]]</f>
        <v>0</v>
      </c>
      <c r="G5" s="4">
        <f>VLOOKUP(Tabla11[[#This Row],[Código]], [1]!Tabla11[#Data], 7,)</f>
        <v>0</v>
      </c>
    </row>
    <row r="6" spans="1:8" x14ac:dyDescent="0.3">
      <c r="A6">
        <v>200012</v>
      </c>
      <c r="B6" t="s">
        <v>418</v>
      </c>
      <c r="C6">
        <v>5</v>
      </c>
      <c r="D6" s="1">
        <v>31</v>
      </c>
      <c r="E6" s="1">
        <f>Tabla11[[#This Row],[Precio unitario]]*Tabla11[[#This Row],[conteo2]]</f>
        <v>155</v>
      </c>
      <c r="G6" s="4">
        <f>VLOOKUP(Tabla11[[#This Row],[Código]], [1]!Tabla11[#Data], 7,)</f>
        <v>7772110000869</v>
      </c>
    </row>
    <row r="7" spans="1:8" x14ac:dyDescent="0.3">
      <c r="A7">
        <v>200014</v>
      </c>
      <c r="B7" t="s">
        <v>419</v>
      </c>
      <c r="C7">
        <v>3</v>
      </c>
      <c r="D7" s="1">
        <v>36</v>
      </c>
      <c r="E7" s="1">
        <f>Tabla11[[#This Row],[Precio unitario]]*Tabla11[[#This Row],[conteo2]]</f>
        <v>108</v>
      </c>
      <c r="G7" s="4">
        <f>VLOOKUP(Tabla11[[#This Row],[Código]], [1]!Tabla11[#Data], 7,)</f>
        <v>7772110000883</v>
      </c>
    </row>
    <row r="8" spans="1:8" x14ac:dyDescent="0.3">
      <c r="A8">
        <v>200017</v>
      </c>
      <c r="B8" t="s">
        <v>420</v>
      </c>
      <c r="C8">
        <v>2</v>
      </c>
      <c r="D8" s="1">
        <v>280</v>
      </c>
      <c r="E8" s="1">
        <f>Tabla11[[#This Row],[Precio unitario]]*Tabla11[[#This Row],[conteo2]]</f>
        <v>560</v>
      </c>
      <c r="G8" s="4">
        <f>VLOOKUP(Tabla11[[#This Row],[Código]], [1]!Tabla11[#Data], 7,)</f>
        <v>74590534474</v>
      </c>
    </row>
    <row r="9" spans="1:8" hidden="1" x14ac:dyDescent="0.3">
      <c r="A9">
        <v>200020</v>
      </c>
      <c r="B9" t="s">
        <v>421</v>
      </c>
      <c r="D9" s="1"/>
      <c r="E9" s="1">
        <f>Tabla11[[#This Row],[Precio unitario]]*Tabla11[[#This Row],[conteo2]]</f>
        <v>0</v>
      </c>
      <c r="G9" s="4">
        <f>VLOOKUP(Tabla11[[#This Row],[Código]], [1]!Tabla11[#Data], 7,)</f>
        <v>0</v>
      </c>
    </row>
    <row r="10" spans="1:8" hidden="1" x14ac:dyDescent="0.3">
      <c r="A10">
        <v>200022</v>
      </c>
      <c r="B10" t="s">
        <v>422</v>
      </c>
      <c r="D10" s="1"/>
      <c r="E10" s="1">
        <f>Tabla11[[#This Row],[Precio unitario]]*Tabla11[[#This Row],[conteo2]]</f>
        <v>0</v>
      </c>
      <c r="G10" s="4">
        <f>VLOOKUP(Tabla11[[#This Row],[Código]], [1]!Tabla11[#Data], 7,)</f>
        <v>0</v>
      </c>
    </row>
    <row r="11" spans="1:8" hidden="1" x14ac:dyDescent="0.3">
      <c r="A11">
        <v>200055</v>
      </c>
      <c r="B11" t="s">
        <v>423</v>
      </c>
      <c r="D11" s="1"/>
      <c r="E11" s="1">
        <f>Tabla11[[#This Row],[Precio unitario]]*Tabla11[[#This Row],[conteo2]]</f>
        <v>0</v>
      </c>
      <c r="G11" s="4">
        <f>VLOOKUP(Tabla11[[#This Row],[Código]], [1]!Tabla11[#Data], 7,)</f>
        <v>0</v>
      </c>
    </row>
    <row r="12" spans="1:8" hidden="1" x14ac:dyDescent="0.3">
      <c r="A12">
        <v>200067</v>
      </c>
      <c r="B12" t="s">
        <v>424</v>
      </c>
      <c r="D12" s="1"/>
      <c r="E12" s="1">
        <f>Tabla11[[#This Row],[Precio unitario]]*Tabla11[[#This Row],[conteo2]]</f>
        <v>0</v>
      </c>
      <c r="G12" s="4">
        <f>VLOOKUP(Tabla11[[#This Row],[Código]], [1]!Tabla11[#Data], 7,)</f>
        <v>0</v>
      </c>
    </row>
    <row r="13" spans="1:8" hidden="1" x14ac:dyDescent="0.3">
      <c r="A13">
        <v>200068</v>
      </c>
      <c r="B13" t="s">
        <v>425</v>
      </c>
      <c r="D13" s="1"/>
      <c r="E13" s="1">
        <f>Tabla11[[#This Row],[Precio unitario]]*Tabla11[[#This Row],[conteo2]]</f>
        <v>0</v>
      </c>
      <c r="G13" s="4">
        <f>VLOOKUP(Tabla11[[#This Row],[Código]], [1]!Tabla11[#Data], 7,)</f>
        <v>0</v>
      </c>
    </row>
    <row r="14" spans="1:8" hidden="1" x14ac:dyDescent="0.3">
      <c r="A14">
        <v>200071</v>
      </c>
      <c r="B14" t="s">
        <v>426</v>
      </c>
      <c r="D14" s="1"/>
      <c r="E14" s="1">
        <f>Tabla11[[#This Row],[Precio unitario]]*Tabla11[[#This Row],[conteo2]]</f>
        <v>0</v>
      </c>
      <c r="G14" s="4">
        <f>VLOOKUP(Tabla11[[#This Row],[Código]], [1]!Tabla11[#Data], 7,)</f>
        <v>0</v>
      </c>
    </row>
    <row r="15" spans="1:8" hidden="1" x14ac:dyDescent="0.3">
      <c r="A15">
        <v>200077</v>
      </c>
      <c r="B15" t="s">
        <v>427</v>
      </c>
      <c r="D15" s="1"/>
      <c r="E15" s="1">
        <f>Tabla11[[#This Row],[Precio unitario]]*Tabla11[[#This Row],[conteo2]]</f>
        <v>0</v>
      </c>
      <c r="G15" s="4">
        <f>VLOOKUP(Tabla11[[#This Row],[Código]], [1]!Tabla11[#Data], 7,)</f>
        <v>0</v>
      </c>
    </row>
    <row r="16" spans="1:8" hidden="1" x14ac:dyDescent="0.3">
      <c r="A16">
        <v>200078</v>
      </c>
      <c r="B16" t="s">
        <v>428</v>
      </c>
      <c r="D16" s="1">
        <v>102</v>
      </c>
      <c r="E16" s="1">
        <f>Tabla11[[#This Row],[Precio unitario]]*Tabla11[[#This Row],[conteo2]]</f>
        <v>0</v>
      </c>
      <c r="F16" t="s">
        <v>429</v>
      </c>
      <c r="G16" s="4">
        <f>VLOOKUP(Tabla11[[#This Row],[Código]], [1]!Tabla11[#Data], 7,)</f>
        <v>0</v>
      </c>
    </row>
    <row r="17" spans="1:7" hidden="1" x14ac:dyDescent="0.3">
      <c r="A17">
        <v>200079</v>
      </c>
      <c r="B17" t="s">
        <v>430</v>
      </c>
      <c r="D17" s="1"/>
      <c r="E17" s="1">
        <f>Tabla11[[#This Row],[Precio unitario]]*Tabla11[[#This Row],[conteo2]]</f>
        <v>0</v>
      </c>
      <c r="G17" s="4">
        <f>VLOOKUP(Tabla11[[#This Row],[Código]], [1]!Tabla11[#Data], 7,)</f>
        <v>0</v>
      </c>
    </row>
    <row r="18" spans="1:7" hidden="1" x14ac:dyDescent="0.3">
      <c r="A18">
        <v>200083</v>
      </c>
      <c r="B18" t="s">
        <v>431</v>
      </c>
      <c r="D18" s="1"/>
      <c r="E18" s="1">
        <f>Tabla11[[#This Row],[Precio unitario]]*Tabla11[[#This Row],[conteo2]]</f>
        <v>0</v>
      </c>
      <c r="G18" s="4">
        <f>VLOOKUP(Tabla11[[#This Row],[Código]], [1]!Tabla11[#Data], 7,)</f>
        <v>0</v>
      </c>
    </row>
    <row r="19" spans="1:7" hidden="1" x14ac:dyDescent="0.3">
      <c r="A19">
        <v>200084</v>
      </c>
      <c r="B19" t="s">
        <v>432</v>
      </c>
      <c r="D19" s="1"/>
      <c r="E19" s="1">
        <f>Tabla11[[#This Row],[Precio unitario]]*Tabla11[[#This Row],[conteo2]]</f>
        <v>0</v>
      </c>
      <c r="G19" s="4">
        <f>VLOOKUP(Tabla11[[#This Row],[Código]], [1]!Tabla11[#Data], 7,)</f>
        <v>0</v>
      </c>
    </row>
    <row r="20" spans="1:7" x14ac:dyDescent="0.3">
      <c r="A20">
        <v>200087</v>
      </c>
      <c r="B20" t="s">
        <v>433</v>
      </c>
      <c r="C20">
        <v>2</v>
      </c>
      <c r="D20" s="1">
        <v>29</v>
      </c>
      <c r="E20" s="1">
        <f>Tabla11[[#This Row],[Precio unitario]]*Tabla11[[#This Row],[conteo2]]</f>
        <v>58</v>
      </c>
      <c r="G20" s="4">
        <f>VLOOKUP(Tabla11[[#This Row],[Código]], [1]!Tabla11[#Data], 7,)</f>
        <v>7802800709557</v>
      </c>
    </row>
    <row r="21" spans="1:7" hidden="1" x14ac:dyDescent="0.3">
      <c r="A21">
        <v>200091</v>
      </c>
      <c r="B21" t="s">
        <v>434</v>
      </c>
      <c r="D21" s="1"/>
      <c r="E21" s="1">
        <f>Tabla11[[#This Row],[Precio unitario]]*Tabla11[[#This Row],[conteo2]]</f>
        <v>0</v>
      </c>
      <c r="G21" s="4">
        <f>VLOOKUP(Tabla11[[#This Row],[Código]], [1]!Tabla11[#Data], 7,)</f>
        <v>0</v>
      </c>
    </row>
    <row r="22" spans="1:7" hidden="1" x14ac:dyDescent="0.3">
      <c r="A22">
        <v>200094</v>
      </c>
      <c r="B22" t="s">
        <v>435</v>
      </c>
      <c r="D22" s="1"/>
      <c r="E22" s="1">
        <f>Tabla11[[#This Row],[Precio unitario]]*Tabla11[[#This Row],[conteo2]]</f>
        <v>0</v>
      </c>
      <c r="G22" s="4">
        <f>VLOOKUP(Tabla11[[#This Row],[Código]], [1]!Tabla11[#Data], 7,)</f>
        <v>0</v>
      </c>
    </row>
    <row r="23" spans="1:7" hidden="1" x14ac:dyDescent="0.3">
      <c r="A23">
        <v>200096</v>
      </c>
      <c r="B23" t="s">
        <v>436</v>
      </c>
      <c r="D23" s="1"/>
      <c r="E23" s="1">
        <f>Tabla11[[#This Row],[Precio unitario]]*Tabla11[[#This Row],[conteo2]]</f>
        <v>0</v>
      </c>
      <c r="G23" s="4">
        <f>VLOOKUP(Tabla11[[#This Row],[Código]], [1]!Tabla11[#Data], 7,)</f>
        <v>0</v>
      </c>
    </row>
    <row r="24" spans="1:7" hidden="1" x14ac:dyDescent="0.3">
      <c r="A24">
        <v>200101</v>
      </c>
      <c r="B24" t="s">
        <v>437</v>
      </c>
      <c r="D24" s="1"/>
      <c r="E24" s="1">
        <f>Tabla11[[#This Row],[Precio unitario]]*Tabla11[[#This Row],[conteo2]]</f>
        <v>0</v>
      </c>
      <c r="G24" s="4">
        <f>VLOOKUP(Tabla11[[#This Row],[Código]], [1]!Tabla11[#Data], 7,)</f>
        <v>0</v>
      </c>
    </row>
    <row r="25" spans="1:7" hidden="1" x14ac:dyDescent="0.3">
      <c r="A25">
        <v>200102</v>
      </c>
      <c r="B25" t="s">
        <v>438</v>
      </c>
      <c r="D25" s="1"/>
      <c r="E25" s="1">
        <f>Tabla11[[#This Row],[Precio unitario]]*Tabla11[[#This Row],[conteo2]]</f>
        <v>0</v>
      </c>
      <c r="G25" s="4">
        <f>VLOOKUP(Tabla11[[#This Row],[Código]], [1]!Tabla11[#Data], 7,)</f>
        <v>0</v>
      </c>
    </row>
    <row r="26" spans="1:7" hidden="1" x14ac:dyDescent="0.3">
      <c r="A26">
        <v>200103</v>
      </c>
      <c r="B26" t="s">
        <v>439</v>
      </c>
      <c r="D26" s="1"/>
      <c r="E26" s="1">
        <f>Tabla11[[#This Row],[Precio unitario]]*Tabla11[[#This Row],[conteo2]]</f>
        <v>0</v>
      </c>
      <c r="G26" s="4">
        <f>VLOOKUP(Tabla11[[#This Row],[Código]], [1]!Tabla11[#Data], 7,)</f>
        <v>0</v>
      </c>
    </row>
    <row r="27" spans="1:7" x14ac:dyDescent="0.3">
      <c r="A27">
        <v>200104</v>
      </c>
      <c r="B27" t="s">
        <v>440</v>
      </c>
      <c r="C27">
        <v>1</v>
      </c>
      <c r="D27" s="1">
        <v>71</v>
      </c>
      <c r="E27" s="1">
        <f>Tabla11[[#This Row],[Precio unitario]]*Tabla11[[#This Row],[conteo2]]</f>
        <v>71</v>
      </c>
      <c r="G27" s="4">
        <f>VLOOKUP(Tabla11[[#This Row],[Código]], [1]!Tabla11[#Data], 7,)</f>
        <v>7896502842063</v>
      </c>
    </row>
    <row r="28" spans="1:7" x14ac:dyDescent="0.3">
      <c r="A28">
        <v>200111</v>
      </c>
      <c r="B28" t="s">
        <v>441</v>
      </c>
      <c r="C28">
        <v>6</v>
      </c>
      <c r="D28" s="1">
        <v>22</v>
      </c>
      <c r="E28" s="1">
        <f>Tabla11[[#This Row],[Precio unitario]]*Tabla11[[#This Row],[conteo2]]</f>
        <v>132</v>
      </c>
      <c r="G28" s="4">
        <f>VLOOKUP(Tabla11[[#This Row],[Código]], [1]!Tabla11[#Data], 7,)</f>
        <v>7772110000418</v>
      </c>
    </row>
    <row r="29" spans="1:7" x14ac:dyDescent="0.3">
      <c r="A29">
        <v>200112</v>
      </c>
      <c r="B29" t="s">
        <v>442</v>
      </c>
      <c r="C29">
        <v>5</v>
      </c>
      <c r="D29" s="1">
        <v>46</v>
      </c>
      <c r="E29" s="1">
        <f>Tabla11[[#This Row],[Precio unitario]]*Tabla11[[#This Row],[conteo2]]</f>
        <v>230</v>
      </c>
      <c r="G29" s="4">
        <f>VLOOKUP(Tabla11[[#This Row],[Código]], [1]!Tabla11[#Data], 7,)</f>
        <v>7772110000876</v>
      </c>
    </row>
    <row r="30" spans="1:7" x14ac:dyDescent="0.3">
      <c r="A30">
        <v>200113</v>
      </c>
      <c r="B30" t="s">
        <v>443</v>
      </c>
      <c r="C30">
        <v>1</v>
      </c>
      <c r="D30" s="1">
        <v>51</v>
      </c>
      <c r="E30" s="1">
        <f>Tabla11[[#This Row],[Precio unitario]]*Tabla11[[#This Row],[conteo2]]</f>
        <v>51</v>
      </c>
      <c r="G30" s="4">
        <f>VLOOKUP(Tabla11[[#This Row],[Código]], [1]!Tabla11[#Data], 7,)</f>
        <v>7772110000982</v>
      </c>
    </row>
    <row r="31" spans="1:7" x14ac:dyDescent="0.3">
      <c r="D31" s="1"/>
      <c r="E31" s="1">
        <f>SUBTOTAL(109,Tabla11[TOTAL])</f>
        <v>1365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B071-45DF-4E96-A756-2FECD62C9369}">
  <dimension ref="A1:F84"/>
  <sheetViews>
    <sheetView tabSelected="1" workbookViewId="0">
      <selection activeCell="I26" sqref="I26"/>
    </sheetView>
  </sheetViews>
  <sheetFormatPr baseColWidth="10" defaultRowHeight="14.4" x14ac:dyDescent="0.3"/>
  <cols>
    <col min="1" max="1" width="10" bestFit="1" customWidth="1"/>
    <col min="2" max="2" width="64.5546875" bestFit="1" customWidth="1"/>
    <col min="3" max="3" width="10.77734375" bestFit="1" customWidth="1"/>
    <col min="4" max="4" width="14" bestFit="1" customWidth="1"/>
    <col min="5" max="5" width="11.33203125" hidden="1" customWidth="1"/>
    <col min="6" max="6" width="21.6640625" style="4" customWidth="1"/>
  </cols>
  <sheetData>
    <row r="1" spans="1:6" ht="31.8" x14ac:dyDescent="0.55000000000000004">
      <c r="A1" s="17" t="s">
        <v>575</v>
      </c>
      <c r="B1" s="17"/>
      <c r="C1" s="17"/>
      <c r="D1" s="17"/>
      <c r="F1" s="18" t="s">
        <v>584</v>
      </c>
    </row>
    <row r="2" spans="1:6" x14ac:dyDescent="0.3">
      <c r="A2" t="s">
        <v>223</v>
      </c>
      <c r="B2" t="s">
        <v>449</v>
      </c>
      <c r="C2" t="s">
        <v>450</v>
      </c>
      <c r="D2" t="s">
        <v>260</v>
      </c>
      <c r="E2" t="s">
        <v>262</v>
      </c>
      <c r="F2" s="4" t="s">
        <v>576</v>
      </c>
    </row>
    <row r="3" spans="1:6" hidden="1" x14ac:dyDescent="0.3">
      <c r="A3">
        <v>590000</v>
      </c>
      <c r="B3" t="s">
        <v>451</v>
      </c>
      <c r="C3" s="2"/>
      <c r="D3" s="1">
        <v>305</v>
      </c>
      <c r="E3" s="1">
        <f>Tabla12[[#This Row],[Precio unitario]]*Tabla12[[#This Row],[CONTEO ]]</f>
        <v>0</v>
      </c>
      <c r="F3" s="4">
        <f>VLOOKUP(Tabla12[[#This Row],[CÓDIGO]], [1]!Tabla12[#Data], 6,)</f>
        <v>7899882308990</v>
      </c>
    </row>
    <row r="4" spans="1:6" x14ac:dyDescent="0.3">
      <c r="A4">
        <v>590001</v>
      </c>
      <c r="B4" t="s">
        <v>452</v>
      </c>
      <c r="C4" s="2">
        <v>1</v>
      </c>
      <c r="D4" s="1">
        <v>305</v>
      </c>
      <c r="E4" s="1">
        <f>Tabla12[[#This Row],[Precio unitario]]*Tabla12[[#This Row],[CONTEO ]]</f>
        <v>305</v>
      </c>
      <c r="F4" s="4">
        <f>VLOOKUP(Tabla12[[#This Row],[CÓDIGO]], [1]!Tabla12[#Data], 6,)</f>
        <v>7899882306798</v>
      </c>
    </row>
    <row r="5" spans="1:6" hidden="1" x14ac:dyDescent="0.3">
      <c r="A5">
        <v>590002</v>
      </c>
      <c r="B5" t="s">
        <v>453</v>
      </c>
      <c r="C5" s="2">
        <v>0</v>
      </c>
      <c r="D5" s="1"/>
      <c r="E5" s="1">
        <f>Tabla12[[#This Row],[Precio unitario]]*Tabla12[[#This Row],[CONTEO ]]</f>
        <v>0</v>
      </c>
      <c r="F5" s="4">
        <f>VLOOKUP(Tabla12[[#This Row],[CÓDIGO]], [1]!Tabla12[#Data], 6,)</f>
        <v>0</v>
      </c>
    </row>
    <row r="6" spans="1:6" hidden="1" x14ac:dyDescent="0.3">
      <c r="A6">
        <v>590003</v>
      </c>
      <c r="B6" t="s">
        <v>454</v>
      </c>
      <c r="C6" s="2">
        <v>0</v>
      </c>
      <c r="D6" s="1"/>
      <c r="E6" s="1">
        <f>Tabla12[[#This Row],[Precio unitario]]*Tabla12[[#This Row],[CONTEO ]]</f>
        <v>0</v>
      </c>
      <c r="F6" s="4">
        <f>VLOOKUP(Tabla12[[#This Row],[CÓDIGO]], [1]!Tabla12[#Data], 6,)</f>
        <v>0</v>
      </c>
    </row>
    <row r="7" spans="1:6" hidden="1" x14ac:dyDescent="0.3">
      <c r="A7">
        <v>590004</v>
      </c>
      <c r="B7" t="s">
        <v>455</v>
      </c>
      <c r="C7" s="2">
        <v>0</v>
      </c>
      <c r="D7" s="1"/>
      <c r="E7" s="1">
        <f>Tabla12[[#This Row],[Precio unitario]]*Tabla12[[#This Row],[CONTEO ]]</f>
        <v>0</v>
      </c>
      <c r="F7" s="4">
        <f>VLOOKUP(Tabla12[[#This Row],[CÓDIGO]], [1]!Tabla12[#Data], 6,)</f>
        <v>0</v>
      </c>
    </row>
    <row r="8" spans="1:6" hidden="1" x14ac:dyDescent="0.3">
      <c r="A8">
        <v>590005</v>
      </c>
      <c r="B8" t="s">
        <v>456</v>
      </c>
      <c r="C8" s="2">
        <v>0</v>
      </c>
      <c r="D8" s="1"/>
      <c r="E8" s="1">
        <f>Tabla12[[#This Row],[Precio unitario]]*Tabla12[[#This Row],[CONTEO ]]</f>
        <v>0</v>
      </c>
      <c r="F8" s="4">
        <f>VLOOKUP(Tabla12[[#This Row],[CÓDIGO]], [1]!Tabla12[#Data], 6,)</f>
        <v>0</v>
      </c>
    </row>
    <row r="9" spans="1:6" hidden="1" x14ac:dyDescent="0.3">
      <c r="A9">
        <v>590006</v>
      </c>
      <c r="B9" t="s">
        <v>457</v>
      </c>
      <c r="C9" s="2"/>
      <c r="D9" s="1">
        <v>70</v>
      </c>
      <c r="E9" s="1">
        <f>Tabla12[[#This Row],[Precio unitario]]*Tabla12[[#This Row],[CONTEO ]]</f>
        <v>0</v>
      </c>
      <c r="F9" s="4">
        <f>VLOOKUP(Tabla12[[#This Row],[CÓDIGO]], [1]!Tabla12[#Data], 6,)</f>
        <v>0</v>
      </c>
    </row>
    <row r="10" spans="1:6" hidden="1" x14ac:dyDescent="0.3">
      <c r="A10">
        <v>590007</v>
      </c>
      <c r="B10" t="s">
        <v>458</v>
      </c>
      <c r="C10" s="2"/>
      <c r="D10" s="1">
        <v>53</v>
      </c>
      <c r="E10" s="1">
        <f>Tabla12[[#This Row],[Precio unitario]]*Tabla12[[#This Row],[CONTEO ]]</f>
        <v>0</v>
      </c>
      <c r="F10" s="4">
        <f>VLOOKUP(Tabla12[[#This Row],[CÓDIGO]], [1]!Tabla12[#Data], 6,)</f>
        <v>0</v>
      </c>
    </row>
    <row r="11" spans="1:6" hidden="1" x14ac:dyDescent="0.3">
      <c r="A11">
        <v>590008</v>
      </c>
      <c r="B11" t="s">
        <v>459</v>
      </c>
      <c r="C11" s="2">
        <v>0</v>
      </c>
      <c r="D11" s="1"/>
      <c r="E11" s="1">
        <f>Tabla12[[#This Row],[Precio unitario]]*Tabla12[[#This Row],[CONTEO ]]</f>
        <v>0</v>
      </c>
      <c r="F11" s="4">
        <f>VLOOKUP(Tabla12[[#This Row],[CÓDIGO]], [1]!Tabla12[#Data], 6,)</f>
        <v>0</v>
      </c>
    </row>
    <row r="12" spans="1:6" x14ac:dyDescent="0.3">
      <c r="A12">
        <v>590009</v>
      </c>
      <c r="B12" t="s">
        <v>460</v>
      </c>
      <c r="C12" s="2">
        <v>1</v>
      </c>
      <c r="D12" s="1">
        <v>53</v>
      </c>
      <c r="E12" s="1">
        <f>Tabla12[[#This Row],[Precio unitario]]*Tabla12[[#This Row],[CONTEO ]]</f>
        <v>53</v>
      </c>
      <c r="F12" s="4">
        <f>VLOOKUP(Tabla12[[#This Row],[CÓDIGO]], [1]!Tabla12[#Data], 6,)</f>
        <v>7895155480691</v>
      </c>
    </row>
    <row r="13" spans="1:6" x14ac:dyDescent="0.3">
      <c r="A13">
        <v>590010</v>
      </c>
      <c r="B13" t="s">
        <v>461</v>
      </c>
      <c r="C13" s="2">
        <v>2</v>
      </c>
      <c r="D13" s="1">
        <v>49</v>
      </c>
      <c r="E13" s="1">
        <f>Tabla12[[#This Row],[Precio unitario]]*Tabla12[[#This Row],[CONTEO ]]</f>
        <v>98</v>
      </c>
      <c r="F13" s="4">
        <f>VLOOKUP(Tabla12[[#This Row],[CÓDIGO]], [1]!Tabla12[#Data], 6,)</f>
        <v>7895155479671</v>
      </c>
    </row>
    <row r="14" spans="1:6" hidden="1" x14ac:dyDescent="0.3">
      <c r="A14">
        <v>590011</v>
      </c>
      <c r="B14" t="s">
        <v>462</v>
      </c>
      <c r="C14" s="2">
        <v>0</v>
      </c>
      <c r="D14" s="1"/>
      <c r="E14" s="1">
        <f>Tabla12[[#This Row],[Precio unitario]]*Tabla12[[#This Row],[CONTEO ]]</f>
        <v>0</v>
      </c>
      <c r="F14" s="4">
        <f>VLOOKUP(Tabla12[[#This Row],[CÓDIGO]], [1]!Tabla12[#Data], 6,)</f>
        <v>0</v>
      </c>
    </row>
    <row r="15" spans="1:6" x14ac:dyDescent="0.3">
      <c r="A15">
        <v>590012</v>
      </c>
      <c r="B15" t="s">
        <v>463</v>
      </c>
      <c r="C15" s="2">
        <v>1</v>
      </c>
      <c r="D15" s="1">
        <v>29</v>
      </c>
      <c r="E15" s="1">
        <f>Tabla12[[#This Row],[Precio unitario]]*Tabla12[[#This Row],[CONTEO ]]</f>
        <v>29</v>
      </c>
      <c r="F15" s="4">
        <f>VLOOKUP(Tabla12[[#This Row],[CÓDIGO]], [1]!Tabla12[#Data], 6,)</f>
        <v>7895155041311</v>
      </c>
    </row>
    <row r="16" spans="1:6" hidden="1" x14ac:dyDescent="0.3">
      <c r="A16">
        <v>590013</v>
      </c>
      <c r="B16" t="s">
        <v>464</v>
      </c>
      <c r="C16" s="2">
        <v>0</v>
      </c>
      <c r="D16" s="1"/>
      <c r="E16" s="1">
        <f>Tabla12[[#This Row],[Precio unitario]]*Tabla12[[#This Row],[CONTEO ]]</f>
        <v>0</v>
      </c>
      <c r="F16" s="4">
        <f>VLOOKUP(Tabla12[[#This Row],[CÓDIGO]], [1]!Tabla12[#Data], 6,)</f>
        <v>0</v>
      </c>
    </row>
    <row r="17" spans="1:6" hidden="1" x14ac:dyDescent="0.3">
      <c r="A17">
        <v>590014</v>
      </c>
      <c r="B17" t="s">
        <v>465</v>
      </c>
      <c r="C17" s="2"/>
      <c r="D17" s="1">
        <v>33</v>
      </c>
      <c r="E17" s="1">
        <f>Tabla12[[#This Row],[Precio unitario]]*Tabla12[[#This Row],[CONTEO ]]</f>
        <v>0</v>
      </c>
      <c r="F17" s="4">
        <f>VLOOKUP(Tabla12[[#This Row],[CÓDIGO]], [1]!Tabla12[#Data], 6,)</f>
        <v>7895155486587</v>
      </c>
    </row>
    <row r="18" spans="1:6" hidden="1" x14ac:dyDescent="0.3">
      <c r="A18">
        <v>590015</v>
      </c>
      <c r="B18" t="s">
        <v>466</v>
      </c>
      <c r="C18" s="2">
        <v>0</v>
      </c>
      <c r="D18" s="1"/>
      <c r="E18" s="1">
        <f>Tabla12[[#This Row],[Precio unitario]]*Tabla12[[#This Row],[CONTEO ]]</f>
        <v>0</v>
      </c>
      <c r="F18" s="4">
        <f>VLOOKUP(Tabla12[[#This Row],[CÓDIGO]], [1]!Tabla12[#Data], 6,)</f>
        <v>0</v>
      </c>
    </row>
    <row r="19" spans="1:6" hidden="1" x14ac:dyDescent="0.3">
      <c r="A19">
        <v>590016</v>
      </c>
      <c r="B19" t="s">
        <v>467</v>
      </c>
      <c r="C19" s="2">
        <v>0</v>
      </c>
      <c r="D19" s="1"/>
      <c r="E19" s="1">
        <f>Tabla12[[#This Row],[Precio unitario]]*Tabla12[[#This Row],[CONTEO ]]</f>
        <v>0</v>
      </c>
      <c r="F19" s="4">
        <f>VLOOKUP(Tabla12[[#This Row],[CÓDIGO]], [1]!Tabla12[#Data], 6,)</f>
        <v>0</v>
      </c>
    </row>
    <row r="20" spans="1:6" hidden="1" x14ac:dyDescent="0.3">
      <c r="A20">
        <v>590017</v>
      </c>
      <c r="B20" t="s">
        <v>468</v>
      </c>
      <c r="C20" s="2"/>
      <c r="D20" s="1">
        <v>38</v>
      </c>
      <c r="E20" s="1">
        <f>Tabla12[[#This Row],[Precio unitario]]*Tabla12[[#This Row],[CONTEO ]]</f>
        <v>0</v>
      </c>
      <c r="F20" s="4">
        <f>VLOOKUP(Tabla12[[#This Row],[CÓDIGO]], [1]!Tabla12[#Data], 6,)</f>
        <v>7895155489700</v>
      </c>
    </row>
    <row r="21" spans="1:6" hidden="1" x14ac:dyDescent="0.3">
      <c r="A21">
        <v>590018</v>
      </c>
      <c r="B21" t="s">
        <v>469</v>
      </c>
      <c r="C21" s="2">
        <v>0</v>
      </c>
      <c r="D21" s="1"/>
      <c r="E21" s="1">
        <f>Tabla12[[#This Row],[Precio unitario]]*Tabla12[[#This Row],[CONTEO ]]</f>
        <v>0</v>
      </c>
      <c r="F21" s="4">
        <f>VLOOKUP(Tabla12[[#This Row],[CÓDIGO]], [1]!Tabla12[#Data], 6,)</f>
        <v>0</v>
      </c>
    </row>
    <row r="22" spans="1:6" hidden="1" x14ac:dyDescent="0.3">
      <c r="A22">
        <v>590019</v>
      </c>
      <c r="B22" t="s">
        <v>470</v>
      </c>
      <c r="C22" s="2"/>
      <c r="D22" s="1">
        <v>38</v>
      </c>
      <c r="E22" s="1">
        <f>Tabla12[[#This Row],[Precio unitario]]*Tabla12[[#This Row],[CONTEO ]]</f>
        <v>0</v>
      </c>
      <c r="F22" s="4">
        <f>VLOOKUP(Tabla12[[#This Row],[CÓDIGO]], [1]!Tabla12[#Data], 6,)</f>
        <v>7895155040277</v>
      </c>
    </row>
    <row r="23" spans="1:6" hidden="1" x14ac:dyDescent="0.3">
      <c r="A23">
        <v>590020</v>
      </c>
      <c r="B23" t="s">
        <v>471</v>
      </c>
      <c r="C23" s="2">
        <v>0</v>
      </c>
      <c r="D23" s="1"/>
      <c r="E23" s="1">
        <f>Tabla12[[#This Row],[Precio unitario]]*Tabla12[[#This Row],[CONTEO ]]</f>
        <v>0</v>
      </c>
      <c r="F23" s="4">
        <f>VLOOKUP(Tabla12[[#This Row],[CÓDIGO]], [1]!Tabla12[#Data], 6,)</f>
        <v>0</v>
      </c>
    </row>
    <row r="24" spans="1:6" hidden="1" x14ac:dyDescent="0.3">
      <c r="A24">
        <v>590021</v>
      </c>
      <c r="B24" t="s">
        <v>472</v>
      </c>
      <c r="C24" s="2"/>
      <c r="D24" s="1">
        <v>109</v>
      </c>
      <c r="E24" s="1">
        <f>Tabla12[[#This Row],[Precio unitario]]*Tabla12[[#This Row],[CONTEO ]]</f>
        <v>0</v>
      </c>
      <c r="F24" s="4">
        <f>VLOOKUP(Tabla12[[#This Row],[CÓDIGO]], [1]!Tabla12[#Data], 6,)</f>
        <v>0</v>
      </c>
    </row>
    <row r="25" spans="1:6" hidden="1" x14ac:dyDescent="0.3">
      <c r="A25">
        <v>590022</v>
      </c>
      <c r="B25" t="s">
        <v>473</v>
      </c>
      <c r="C25" s="2">
        <v>0</v>
      </c>
      <c r="D25" s="1"/>
      <c r="E25" s="1">
        <f>Tabla12[[#This Row],[Precio unitario]]*Tabla12[[#This Row],[CONTEO ]]</f>
        <v>0</v>
      </c>
      <c r="F25" s="4">
        <f>VLOOKUP(Tabla12[[#This Row],[CÓDIGO]], [1]!Tabla12[#Data], 6,)</f>
        <v>0</v>
      </c>
    </row>
    <row r="26" spans="1:6" s="9" customFormat="1" x14ac:dyDescent="0.3">
      <c r="A26" s="9">
        <v>590023</v>
      </c>
      <c r="B26" s="9" t="s">
        <v>474</v>
      </c>
      <c r="C26" s="13">
        <v>2</v>
      </c>
      <c r="D26" s="10">
        <v>65</v>
      </c>
      <c r="E26" s="10">
        <f>Tabla12[[#This Row],[Precio unitario]]*Tabla12[[#This Row],[CONTEO ]]</f>
        <v>130</v>
      </c>
      <c r="F26" s="19">
        <f>VLOOKUP(Tabla12[[#This Row],[CÓDIGO]], [1]!Tabla12[#Data], 6,)</f>
        <v>7895155424893</v>
      </c>
    </row>
    <row r="27" spans="1:6" s="9" customFormat="1" x14ac:dyDescent="0.3">
      <c r="A27" s="9">
        <v>590024</v>
      </c>
      <c r="B27" s="9" t="s">
        <v>475</v>
      </c>
      <c r="C27" s="13">
        <v>1</v>
      </c>
      <c r="D27" s="10">
        <v>65</v>
      </c>
      <c r="E27" s="10">
        <f>Tabla12[[#This Row],[Precio unitario]]*Tabla12[[#This Row],[CONTEO ]]</f>
        <v>65</v>
      </c>
      <c r="F27" s="19">
        <f>VLOOKUP(Tabla12[[#This Row],[CÓDIGO]], [1]!Tabla12[#Data], 6,)</f>
        <v>7895155424855</v>
      </c>
    </row>
    <row r="28" spans="1:6" x14ac:dyDescent="0.3">
      <c r="A28">
        <v>590025</v>
      </c>
      <c r="B28" t="s">
        <v>476</v>
      </c>
      <c r="C28" s="2">
        <v>1</v>
      </c>
      <c r="D28" s="1">
        <v>22</v>
      </c>
      <c r="E28" s="1">
        <f>Tabla12[[#This Row],[Precio unitario]]*Tabla12[[#This Row],[CONTEO ]]</f>
        <v>22</v>
      </c>
      <c r="F28" s="4">
        <f>VLOOKUP(Tabla12[[#This Row],[CÓDIGO]], [1]!Tabla12[#Data], 6,)</f>
        <v>7895155489823</v>
      </c>
    </row>
    <row r="29" spans="1:6" x14ac:dyDescent="0.3">
      <c r="A29">
        <v>590026</v>
      </c>
      <c r="B29" t="s">
        <v>477</v>
      </c>
      <c r="C29" s="2">
        <v>1</v>
      </c>
      <c r="D29" s="1">
        <v>22</v>
      </c>
      <c r="E29" s="1">
        <f>Tabla12[[#This Row],[Precio unitario]]*Tabla12[[#This Row],[CONTEO ]]</f>
        <v>22</v>
      </c>
      <c r="F29" s="4">
        <f>VLOOKUP(Tabla12[[#This Row],[CÓDIGO]], [1]!Tabla12[#Data], 6,)</f>
        <v>7895155041571</v>
      </c>
    </row>
    <row r="30" spans="1:6" x14ac:dyDescent="0.3">
      <c r="A30">
        <v>590027</v>
      </c>
      <c r="B30" t="s">
        <v>478</v>
      </c>
      <c r="C30" s="2">
        <v>1</v>
      </c>
      <c r="D30" s="1">
        <v>22</v>
      </c>
      <c r="E30" s="1">
        <f>Tabla12[[#This Row],[Precio unitario]]*Tabla12[[#This Row],[CONTEO ]]</f>
        <v>22</v>
      </c>
      <c r="F30" s="4">
        <f>VLOOKUP(Tabla12[[#This Row],[CÓDIGO]], [1]!Tabla12[#Data], 6,)</f>
        <v>7895155386108</v>
      </c>
    </row>
    <row r="31" spans="1:6" x14ac:dyDescent="0.3">
      <c r="A31">
        <v>590028</v>
      </c>
      <c r="B31" t="s">
        <v>479</v>
      </c>
      <c r="C31" s="2">
        <v>1</v>
      </c>
      <c r="D31" s="1">
        <v>31</v>
      </c>
      <c r="E31" s="1">
        <f>Tabla12[[#This Row],[Precio unitario]]*Tabla12[[#This Row],[CONTEO ]]</f>
        <v>31</v>
      </c>
      <c r="F31" s="4">
        <f>VLOOKUP(Tabla12[[#This Row],[CÓDIGO]], [1]!Tabla12[#Data], 6,)</f>
        <v>7895155489861</v>
      </c>
    </row>
    <row r="32" spans="1:6" x14ac:dyDescent="0.3">
      <c r="A32">
        <v>590029</v>
      </c>
      <c r="B32" t="s">
        <v>480</v>
      </c>
      <c r="C32" s="2">
        <v>1</v>
      </c>
      <c r="D32" s="1">
        <v>31</v>
      </c>
      <c r="E32" s="1">
        <f>Tabla12[[#This Row],[Precio unitario]]*Tabla12[[#This Row],[CONTEO ]]</f>
        <v>31</v>
      </c>
      <c r="F32" s="4">
        <f>VLOOKUP(Tabla12[[#This Row],[CÓDIGO]], [1]!Tabla12[#Data], 6,)</f>
        <v>7895155041618</v>
      </c>
    </row>
    <row r="33" spans="1:6" x14ac:dyDescent="0.3">
      <c r="A33">
        <v>590030</v>
      </c>
      <c r="B33" t="s">
        <v>481</v>
      </c>
      <c r="C33" s="2">
        <v>1</v>
      </c>
      <c r="D33" s="1">
        <v>31</v>
      </c>
      <c r="E33" s="1">
        <f>Tabla12[[#This Row],[Precio unitario]]*Tabla12[[#This Row],[CONTEO ]]</f>
        <v>31</v>
      </c>
      <c r="F33" s="4">
        <f>VLOOKUP(Tabla12[[#This Row],[CÓDIGO]], [1]!Tabla12[#Data], 6,)</f>
        <v>7895155386474</v>
      </c>
    </row>
    <row r="34" spans="1:6" hidden="1" x14ac:dyDescent="0.3">
      <c r="A34">
        <v>590031</v>
      </c>
      <c r="B34" t="s">
        <v>482</v>
      </c>
      <c r="C34" s="2">
        <v>0</v>
      </c>
      <c r="D34" s="1"/>
      <c r="E34" s="1">
        <f>Tabla12[[#This Row],[Precio unitario]]*Tabla12[[#This Row],[CONTEO ]]</f>
        <v>0</v>
      </c>
      <c r="F34" s="4">
        <f>VLOOKUP(Tabla12[[#This Row],[CÓDIGO]], [1]!Tabla12[#Data], 6,)</f>
        <v>0</v>
      </c>
    </row>
    <row r="35" spans="1:6" x14ac:dyDescent="0.3">
      <c r="A35">
        <v>590032</v>
      </c>
      <c r="B35" t="s">
        <v>483</v>
      </c>
      <c r="C35" s="2">
        <v>1</v>
      </c>
      <c r="D35" s="1">
        <v>34</v>
      </c>
      <c r="E35" s="1">
        <f>Tabla12[[#This Row],[Precio unitario]]*Tabla12[[#This Row],[CONTEO ]]</f>
        <v>34</v>
      </c>
      <c r="F35" s="4">
        <f>VLOOKUP(Tabla12[[#This Row],[CÓDIGO]], [1]!Tabla12[#Data], 6,)</f>
        <v>7895155041670</v>
      </c>
    </row>
    <row r="36" spans="1:6" hidden="1" x14ac:dyDescent="0.3">
      <c r="A36">
        <v>590033</v>
      </c>
      <c r="B36" t="s">
        <v>484</v>
      </c>
      <c r="C36" s="2">
        <v>0</v>
      </c>
      <c r="D36" s="1"/>
      <c r="E36" s="1">
        <f>Tabla12[[#This Row],[Precio unitario]]*Tabla12[[#This Row],[CONTEO ]]</f>
        <v>0</v>
      </c>
      <c r="F36" s="4">
        <f>VLOOKUP(Tabla12[[#This Row],[CÓDIGO]], [1]!Tabla12[#Data], 6,)</f>
        <v>0</v>
      </c>
    </row>
    <row r="37" spans="1:6" hidden="1" x14ac:dyDescent="0.3">
      <c r="A37">
        <v>590034</v>
      </c>
      <c r="B37" t="s">
        <v>485</v>
      </c>
      <c r="C37" s="2">
        <v>0</v>
      </c>
      <c r="D37" s="1"/>
      <c r="E37" s="1">
        <f>Tabla12[[#This Row],[Precio unitario]]*Tabla12[[#This Row],[CONTEO ]]</f>
        <v>0</v>
      </c>
      <c r="F37" s="4">
        <f>VLOOKUP(Tabla12[[#This Row],[CÓDIGO]], [1]!Tabla12[#Data], 6,)</f>
        <v>0</v>
      </c>
    </row>
    <row r="38" spans="1:6" hidden="1" x14ac:dyDescent="0.3">
      <c r="A38">
        <v>590035</v>
      </c>
      <c r="B38" t="s">
        <v>486</v>
      </c>
      <c r="C38" s="2">
        <v>0</v>
      </c>
      <c r="D38" s="1"/>
      <c r="E38" s="1">
        <f>Tabla12[[#This Row],[Precio unitario]]*Tabla12[[#This Row],[CONTEO ]]</f>
        <v>0</v>
      </c>
      <c r="F38" s="4">
        <f>VLOOKUP(Tabla12[[#This Row],[CÓDIGO]], [1]!Tabla12[#Data], 6,)</f>
        <v>0</v>
      </c>
    </row>
    <row r="39" spans="1:6" hidden="1" x14ac:dyDescent="0.3">
      <c r="A39">
        <v>590036</v>
      </c>
      <c r="B39" t="s">
        <v>487</v>
      </c>
      <c r="C39" s="2">
        <v>0</v>
      </c>
      <c r="D39" s="1"/>
      <c r="E39" s="1">
        <f>Tabla12[[#This Row],[Precio unitario]]*Tabla12[[#This Row],[CONTEO ]]</f>
        <v>0</v>
      </c>
      <c r="F39" s="4">
        <f>VLOOKUP(Tabla12[[#This Row],[CÓDIGO]], [1]!Tabla12[#Data], 6,)</f>
        <v>0</v>
      </c>
    </row>
    <row r="40" spans="1:6" hidden="1" x14ac:dyDescent="0.3">
      <c r="A40">
        <v>590037</v>
      </c>
      <c r="B40" t="s">
        <v>488</v>
      </c>
      <c r="C40" s="2">
        <v>0</v>
      </c>
      <c r="D40" s="1"/>
      <c r="E40" s="1">
        <f>Tabla12[[#This Row],[Precio unitario]]*Tabla12[[#This Row],[CONTEO ]]</f>
        <v>0</v>
      </c>
      <c r="F40" s="4">
        <f>VLOOKUP(Tabla12[[#This Row],[CÓDIGO]], [1]!Tabla12[#Data], 6,)</f>
        <v>0</v>
      </c>
    </row>
    <row r="41" spans="1:6" x14ac:dyDescent="0.3">
      <c r="A41">
        <v>590038</v>
      </c>
      <c r="B41" t="s">
        <v>489</v>
      </c>
      <c r="C41" s="2">
        <v>1</v>
      </c>
      <c r="D41" s="1">
        <v>43</v>
      </c>
      <c r="E41" s="1">
        <f>Tabla12[[#This Row],[Precio unitario]]*Tabla12[[#This Row],[CONTEO ]]</f>
        <v>43</v>
      </c>
      <c r="F41" s="4">
        <f>VLOOKUP(Tabla12[[#This Row],[CÓDIGO]], [1]!Tabla12[#Data], 6,)</f>
        <v>7895155933173</v>
      </c>
    </row>
    <row r="42" spans="1:6" hidden="1" x14ac:dyDescent="0.3">
      <c r="A42">
        <v>590039</v>
      </c>
      <c r="B42" t="s">
        <v>490</v>
      </c>
      <c r="C42" s="2">
        <v>0</v>
      </c>
      <c r="D42" s="1"/>
      <c r="E42" s="1">
        <f>Tabla12[[#This Row],[Precio unitario]]*Tabla12[[#This Row],[CONTEO ]]</f>
        <v>0</v>
      </c>
      <c r="F42" s="4">
        <f>VLOOKUP(Tabla12[[#This Row],[CÓDIGO]], [1]!Tabla12[#Data], 6,)</f>
        <v>0</v>
      </c>
    </row>
    <row r="43" spans="1:6" hidden="1" x14ac:dyDescent="0.3">
      <c r="A43">
        <v>590040</v>
      </c>
      <c r="B43" t="s">
        <v>491</v>
      </c>
      <c r="C43" s="2">
        <v>0</v>
      </c>
      <c r="D43" s="1"/>
      <c r="E43" s="1">
        <f>Tabla12[[#This Row],[Precio unitario]]*Tabla12[[#This Row],[CONTEO ]]</f>
        <v>0</v>
      </c>
      <c r="F43" s="4">
        <f>VLOOKUP(Tabla12[[#This Row],[CÓDIGO]], [1]!Tabla12[#Data], 6,)</f>
        <v>0</v>
      </c>
    </row>
    <row r="44" spans="1:6" x14ac:dyDescent="0.3">
      <c r="A44">
        <v>590041</v>
      </c>
      <c r="B44" t="s">
        <v>492</v>
      </c>
      <c r="C44" s="2">
        <v>2</v>
      </c>
      <c r="D44" s="1">
        <v>27</v>
      </c>
      <c r="E44" s="1">
        <f>Tabla12[[#This Row],[Precio unitario]]*Tabla12[[#This Row],[CONTEO ]]</f>
        <v>54</v>
      </c>
      <c r="F44" s="4">
        <f>VLOOKUP(Tabla12[[#This Row],[CÓDIGO]], [1]!Tabla12[#Data], 6,)</f>
        <v>7895155013509</v>
      </c>
    </row>
    <row r="45" spans="1:6" x14ac:dyDescent="0.3">
      <c r="A45">
        <v>590042</v>
      </c>
      <c r="B45" t="s">
        <v>493</v>
      </c>
      <c r="C45" s="2">
        <v>2</v>
      </c>
      <c r="D45" s="1">
        <v>27</v>
      </c>
      <c r="E45" s="1">
        <f>Tabla12[[#This Row],[Precio unitario]]*Tabla12[[#This Row],[CONTEO ]]</f>
        <v>54</v>
      </c>
      <c r="F45" s="4">
        <f>VLOOKUP(Tabla12[[#This Row],[CÓDIGO]], [1]!Tabla12[#Data], 6,)</f>
        <v>7895155038397</v>
      </c>
    </row>
    <row r="46" spans="1:6" x14ac:dyDescent="0.3">
      <c r="A46">
        <v>590043</v>
      </c>
      <c r="B46" t="s">
        <v>494</v>
      </c>
      <c r="C46" s="2">
        <v>2</v>
      </c>
      <c r="D46" s="1">
        <v>27</v>
      </c>
      <c r="E46" s="1">
        <f>Tabla12[[#This Row],[Precio unitario]]*Tabla12[[#This Row],[CONTEO ]]</f>
        <v>54</v>
      </c>
      <c r="F46" s="4">
        <f>VLOOKUP(Tabla12[[#This Row],[CÓDIGO]], [1]!Tabla12[#Data], 6,)</f>
        <v>7895155013547</v>
      </c>
    </row>
    <row r="47" spans="1:6" x14ac:dyDescent="0.3">
      <c r="A47">
        <v>590044</v>
      </c>
      <c r="B47" t="s">
        <v>495</v>
      </c>
      <c r="C47" s="2">
        <v>2</v>
      </c>
      <c r="D47" s="1">
        <v>33</v>
      </c>
      <c r="E47" s="1">
        <f>Tabla12[[#This Row],[Precio unitario]]*Tabla12[[#This Row],[CONTEO ]]</f>
        <v>66</v>
      </c>
      <c r="F47" s="4">
        <f>VLOOKUP(Tabla12[[#This Row],[CÓDIGO]], [1]!Tabla12[#Data], 6,)</f>
        <v>7895155014049</v>
      </c>
    </row>
    <row r="48" spans="1:6" x14ac:dyDescent="0.3">
      <c r="A48">
        <v>590045</v>
      </c>
      <c r="B48" t="s">
        <v>496</v>
      </c>
      <c r="C48" s="2">
        <v>1</v>
      </c>
      <c r="D48" s="1">
        <v>33</v>
      </c>
      <c r="E48" s="1">
        <f>Tabla12[[#This Row],[Precio unitario]]*Tabla12[[#This Row],[CONTEO ]]</f>
        <v>33</v>
      </c>
      <c r="F48" s="4">
        <f>VLOOKUP(Tabla12[[#This Row],[CÓDIGO]], [1]!Tabla12[#Data], 6,)</f>
        <v>7895155039707</v>
      </c>
    </row>
    <row r="49" spans="1:6" hidden="1" x14ac:dyDescent="0.3">
      <c r="A49" s="9">
        <v>590046</v>
      </c>
      <c r="B49" s="9" t="s">
        <v>497</v>
      </c>
      <c r="C49" s="13">
        <v>0</v>
      </c>
      <c r="D49" s="10">
        <v>33</v>
      </c>
      <c r="E49" s="1">
        <f>Tabla12[[#This Row],[Precio unitario]]*Tabla12[[#This Row],[CONTEO ]]</f>
        <v>0</v>
      </c>
      <c r="F49" s="4">
        <f>VLOOKUP(Tabla12[[#This Row],[CÓDIGO]], [1]!Tabla12[#Data], 6,)</f>
        <v>7895155014094</v>
      </c>
    </row>
    <row r="50" spans="1:6" hidden="1" x14ac:dyDescent="0.3">
      <c r="A50">
        <v>590047</v>
      </c>
      <c r="B50" t="s">
        <v>498</v>
      </c>
      <c r="C50" s="2"/>
      <c r="D50" s="1">
        <v>113</v>
      </c>
      <c r="E50" s="1">
        <f>Tabla12[[#This Row],[Precio unitario]]*Tabla12[[#This Row],[CONTEO ]]</f>
        <v>0</v>
      </c>
      <c r="F50" s="4">
        <f>VLOOKUP(Tabla12[[#This Row],[CÓDIGO]], [1]!Tabla12[#Data], 6,)</f>
        <v>0</v>
      </c>
    </row>
    <row r="51" spans="1:6" hidden="1" x14ac:dyDescent="0.3">
      <c r="A51">
        <v>590048</v>
      </c>
      <c r="B51" t="s">
        <v>499</v>
      </c>
      <c r="C51" s="2">
        <v>0</v>
      </c>
      <c r="D51" s="1"/>
      <c r="E51" s="1">
        <f>Tabla12[[#This Row],[Precio unitario]]*Tabla12[[#This Row],[CONTEO ]]</f>
        <v>0</v>
      </c>
      <c r="F51" s="4">
        <f>VLOOKUP(Tabla12[[#This Row],[CÓDIGO]], [1]!Tabla12[#Data], 6,)</f>
        <v>0</v>
      </c>
    </row>
    <row r="52" spans="1:6" hidden="1" x14ac:dyDescent="0.3">
      <c r="A52">
        <v>590049</v>
      </c>
      <c r="B52" t="s">
        <v>500</v>
      </c>
      <c r="C52" s="2">
        <v>0</v>
      </c>
      <c r="D52" s="1">
        <v>31</v>
      </c>
      <c r="E52" s="1">
        <f>Tabla12[[#This Row],[Precio unitario]]*Tabla12[[#This Row],[CONTEO ]]</f>
        <v>0</v>
      </c>
      <c r="F52" s="4">
        <f>VLOOKUP(Tabla12[[#This Row],[CÓDIGO]], [1]!Tabla12[#Data], 6,)</f>
        <v>7895155396572</v>
      </c>
    </row>
    <row r="53" spans="1:6" x14ac:dyDescent="0.3">
      <c r="A53">
        <v>590050</v>
      </c>
      <c r="B53" t="s">
        <v>501</v>
      </c>
      <c r="C53" s="2">
        <v>2</v>
      </c>
      <c r="D53" s="1">
        <v>24</v>
      </c>
      <c r="E53" s="1">
        <f>Tabla12[[#This Row],[Precio unitario]]*Tabla12[[#This Row],[CONTEO ]]</f>
        <v>48</v>
      </c>
      <c r="F53" s="4">
        <f>VLOOKUP(Tabla12[[#This Row],[CÓDIGO]], [1]!Tabla12[#Data], 6,)</f>
        <v>7895155396954</v>
      </c>
    </row>
    <row r="54" spans="1:6" x14ac:dyDescent="0.3">
      <c r="A54">
        <v>590051</v>
      </c>
      <c r="B54" t="s">
        <v>502</v>
      </c>
      <c r="C54" s="2">
        <v>1</v>
      </c>
      <c r="D54" s="1">
        <v>24</v>
      </c>
      <c r="E54" s="1">
        <f>Tabla12[[#This Row],[Precio unitario]]*Tabla12[[#This Row],[CONTEO ]]</f>
        <v>24</v>
      </c>
      <c r="F54" s="4">
        <f>VLOOKUP(Tabla12[[#This Row],[CÓDIGO]], [1]!Tabla12[#Data], 6,)</f>
        <v>7895155397050</v>
      </c>
    </row>
    <row r="55" spans="1:6" x14ac:dyDescent="0.3">
      <c r="A55">
        <v>590052</v>
      </c>
      <c r="B55" t="s">
        <v>503</v>
      </c>
      <c r="C55" s="2">
        <v>2</v>
      </c>
      <c r="D55" s="1">
        <v>24</v>
      </c>
      <c r="E55" s="1">
        <f>Tabla12[[#This Row],[Precio unitario]]*Tabla12[[#This Row],[CONTEO ]]</f>
        <v>48</v>
      </c>
      <c r="F55" s="4">
        <f>VLOOKUP(Tabla12[[#This Row],[CÓDIGO]], [1]!Tabla12[#Data], 6,)</f>
        <v>7895155397142</v>
      </c>
    </row>
    <row r="56" spans="1:6" x14ac:dyDescent="0.3">
      <c r="A56">
        <v>590053</v>
      </c>
      <c r="B56" t="s">
        <v>504</v>
      </c>
      <c r="C56" s="2">
        <v>1</v>
      </c>
      <c r="D56" s="1">
        <v>24</v>
      </c>
      <c r="E56" s="1">
        <f>Tabla12[[#This Row],[Precio unitario]]*Tabla12[[#This Row],[CONTEO ]]</f>
        <v>24</v>
      </c>
      <c r="F56" s="4">
        <f>VLOOKUP(Tabla12[[#This Row],[CÓDIGO]], [1]!Tabla12[#Data], 6,)</f>
        <v>7895155397265</v>
      </c>
    </row>
    <row r="57" spans="1:6" x14ac:dyDescent="0.3">
      <c r="A57">
        <v>590054</v>
      </c>
      <c r="B57" t="s">
        <v>505</v>
      </c>
      <c r="C57" s="2">
        <v>1</v>
      </c>
      <c r="D57" s="1">
        <v>22</v>
      </c>
      <c r="E57" s="1">
        <f>Tabla12[[#This Row],[Precio unitario]]*Tabla12[[#This Row],[CONTEO ]]</f>
        <v>22</v>
      </c>
      <c r="F57" s="4">
        <f>VLOOKUP(Tabla12[[#This Row],[CÓDIGO]], [1]!Tabla12[#Data], 6,)</f>
        <v>7895155397661</v>
      </c>
    </row>
    <row r="58" spans="1:6" x14ac:dyDescent="0.3">
      <c r="A58">
        <v>590055</v>
      </c>
      <c r="B58" t="s">
        <v>506</v>
      </c>
      <c r="C58" s="2">
        <v>2</v>
      </c>
      <c r="D58" s="1">
        <v>22</v>
      </c>
      <c r="E58" s="1">
        <f>Tabla12[[#This Row],[Precio unitario]]*Tabla12[[#This Row],[CONTEO ]]</f>
        <v>44</v>
      </c>
      <c r="F58" s="4">
        <f>VLOOKUP(Tabla12[[#This Row],[CÓDIGO]], [1]!Tabla12[#Data], 6,)</f>
        <v>7895155397708</v>
      </c>
    </row>
    <row r="59" spans="1:6" hidden="1" x14ac:dyDescent="0.3">
      <c r="A59" s="9">
        <v>590056</v>
      </c>
      <c r="B59" t="s">
        <v>507</v>
      </c>
      <c r="C59" s="2">
        <v>0</v>
      </c>
      <c r="D59" s="1"/>
      <c r="E59" s="1">
        <f>Tabla12[[#This Row],[Precio unitario]]*Tabla12[[#This Row],[CONTEO ]]</f>
        <v>0</v>
      </c>
      <c r="F59" s="4">
        <f>VLOOKUP(Tabla12[[#This Row],[CÓDIGO]], [1]!Tabla12[#Data], 6,)</f>
        <v>0</v>
      </c>
    </row>
    <row r="60" spans="1:6" hidden="1" x14ac:dyDescent="0.3">
      <c r="A60">
        <v>590057</v>
      </c>
      <c r="B60" t="s">
        <v>508</v>
      </c>
      <c r="C60" s="2">
        <v>0</v>
      </c>
      <c r="D60" s="1"/>
      <c r="E60" s="1">
        <f>Tabla12[[#This Row],[Precio unitario]]*Tabla12[[#This Row],[CONTEO ]]</f>
        <v>0</v>
      </c>
      <c r="F60" s="4">
        <f>VLOOKUP(Tabla12[[#This Row],[CÓDIGO]], [1]!Tabla12[#Data], 6,)</f>
        <v>0</v>
      </c>
    </row>
    <row r="61" spans="1:6" hidden="1" x14ac:dyDescent="0.3">
      <c r="A61">
        <v>590058</v>
      </c>
      <c r="B61" t="s">
        <v>509</v>
      </c>
      <c r="C61" s="2">
        <v>0</v>
      </c>
      <c r="D61" s="1"/>
      <c r="E61" s="1">
        <f>Tabla12[[#This Row],[Precio unitario]]*Tabla12[[#This Row],[CONTEO ]]</f>
        <v>0</v>
      </c>
      <c r="F61" s="4">
        <f>VLOOKUP(Tabla12[[#This Row],[CÓDIGO]], [1]!Tabla12[#Data], 6,)</f>
        <v>0</v>
      </c>
    </row>
    <row r="62" spans="1:6" hidden="1" x14ac:dyDescent="0.3">
      <c r="A62">
        <v>590059</v>
      </c>
      <c r="B62" t="s">
        <v>510</v>
      </c>
      <c r="C62" s="2">
        <v>0</v>
      </c>
      <c r="D62" s="1"/>
      <c r="E62" s="1">
        <f>Tabla12[[#This Row],[Precio unitario]]*Tabla12[[#This Row],[CONTEO ]]</f>
        <v>0</v>
      </c>
      <c r="F62" s="4">
        <f>VLOOKUP(Tabla12[[#This Row],[CÓDIGO]], [1]!Tabla12[#Data], 6,)</f>
        <v>0</v>
      </c>
    </row>
    <row r="63" spans="1:6" hidden="1" x14ac:dyDescent="0.3">
      <c r="A63">
        <v>590060</v>
      </c>
      <c r="B63" t="s">
        <v>511</v>
      </c>
      <c r="C63" s="2">
        <v>0</v>
      </c>
      <c r="D63" s="1"/>
      <c r="E63" s="1">
        <f>Tabla12[[#This Row],[Precio unitario]]*Tabla12[[#This Row],[CONTEO ]]</f>
        <v>0</v>
      </c>
      <c r="F63" s="4">
        <f>VLOOKUP(Tabla12[[#This Row],[CÓDIGO]], [1]!Tabla12[#Data], 6,)</f>
        <v>0</v>
      </c>
    </row>
    <row r="64" spans="1:6" hidden="1" x14ac:dyDescent="0.3">
      <c r="A64">
        <v>590061</v>
      </c>
      <c r="B64" t="s">
        <v>512</v>
      </c>
      <c r="C64" s="2">
        <v>0</v>
      </c>
      <c r="D64" s="1"/>
      <c r="E64" s="1">
        <f>Tabla12[[#This Row],[Precio unitario]]*Tabla12[[#This Row],[CONTEO ]]</f>
        <v>0</v>
      </c>
      <c r="F64" s="4">
        <f>VLOOKUP(Tabla12[[#This Row],[CÓDIGO]], [1]!Tabla12[#Data], 6,)</f>
        <v>0</v>
      </c>
    </row>
    <row r="65" spans="1:6" hidden="1" x14ac:dyDescent="0.3">
      <c r="A65">
        <v>590062</v>
      </c>
      <c r="B65" t="s">
        <v>513</v>
      </c>
      <c r="C65" s="2">
        <v>0</v>
      </c>
      <c r="D65" s="1"/>
      <c r="E65" s="1">
        <f>Tabla12[[#This Row],[Precio unitario]]*Tabla12[[#This Row],[CONTEO ]]</f>
        <v>0</v>
      </c>
      <c r="F65" s="4">
        <f>VLOOKUP(Tabla12[[#This Row],[CÓDIGO]], [1]!Tabla12[#Data], 6,)</f>
        <v>0</v>
      </c>
    </row>
    <row r="66" spans="1:6" hidden="1" x14ac:dyDescent="0.3">
      <c r="A66">
        <v>590063</v>
      </c>
      <c r="B66" t="s">
        <v>514</v>
      </c>
      <c r="C66" s="2">
        <v>0</v>
      </c>
      <c r="D66" s="1"/>
      <c r="E66" s="1">
        <f>Tabla12[[#This Row],[Precio unitario]]*Tabla12[[#This Row],[CONTEO ]]</f>
        <v>0</v>
      </c>
      <c r="F66" s="4">
        <f>VLOOKUP(Tabla12[[#This Row],[CÓDIGO]], [1]!Tabla12[#Data], 6,)</f>
        <v>0</v>
      </c>
    </row>
    <row r="67" spans="1:6" hidden="1" x14ac:dyDescent="0.3">
      <c r="A67">
        <v>590064</v>
      </c>
      <c r="B67" t="s">
        <v>515</v>
      </c>
      <c r="C67" s="2">
        <v>0</v>
      </c>
      <c r="D67" s="1"/>
      <c r="E67" s="1">
        <f>Tabla12[[#This Row],[Precio unitario]]*Tabla12[[#This Row],[CONTEO ]]</f>
        <v>0</v>
      </c>
      <c r="F67" s="4">
        <f>VLOOKUP(Tabla12[[#This Row],[CÓDIGO]], [1]!Tabla12[#Data], 6,)</f>
        <v>0</v>
      </c>
    </row>
    <row r="68" spans="1:6" x14ac:dyDescent="0.3">
      <c r="A68" s="9">
        <v>590065</v>
      </c>
      <c r="B68" s="9" t="s">
        <v>516</v>
      </c>
      <c r="C68" s="13">
        <v>1</v>
      </c>
      <c r="D68" s="10">
        <v>21</v>
      </c>
      <c r="E68" s="1">
        <f>Tabla12[[#This Row],[Precio unitario]]*Tabla12[[#This Row],[CONTEO ]]</f>
        <v>21</v>
      </c>
      <c r="F68" s="4" t="str">
        <f>VLOOKUP(Tabla12[[#This Row],[CÓDIGO]], [1]!Tabla12[#Data], 6,)</f>
        <v>NO TIENE</v>
      </c>
    </row>
    <row r="69" spans="1:6" hidden="1" x14ac:dyDescent="0.3">
      <c r="A69" s="9">
        <v>590066</v>
      </c>
      <c r="B69" t="s">
        <v>517</v>
      </c>
      <c r="C69" s="2">
        <v>0</v>
      </c>
      <c r="D69" s="1"/>
      <c r="E69" s="1">
        <f>Tabla12[[#This Row],[Precio unitario]]*Tabla12[[#This Row],[CONTEO ]]</f>
        <v>0</v>
      </c>
      <c r="F69" s="4">
        <f>VLOOKUP(Tabla12[[#This Row],[CÓDIGO]], [1]!Tabla12[#Data], 6,)</f>
        <v>0</v>
      </c>
    </row>
    <row r="70" spans="1:6" hidden="1" x14ac:dyDescent="0.3">
      <c r="A70">
        <v>590067</v>
      </c>
      <c r="B70" t="s">
        <v>518</v>
      </c>
      <c r="C70" s="2">
        <v>0</v>
      </c>
      <c r="D70" s="1"/>
      <c r="E70" s="1">
        <f>Tabla12[[#This Row],[Precio unitario]]*Tabla12[[#This Row],[CONTEO ]]</f>
        <v>0</v>
      </c>
      <c r="F70" s="4">
        <f>VLOOKUP(Tabla12[[#This Row],[CÓDIGO]], [1]!Tabla12[#Data], 6,)</f>
        <v>0</v>
      </c>
    </row>
    <row r="71" spans="1:6" x14ac:dyDescent="0.3">
      <c r="A71">
        <v>590068</v>
      </c>
      <c r="B71" t="s">
        <v>519</v>
      </c>
      <c r="C71" s="2">
        <v>1</v>
      </c>
      <c r="D71" s="1">
        <v>18</v>
      </c>
      <c r="E71" s="1">
        <f>Tabla12[[#This Row],[Precio unitario]]*Tabla12[[#This Row],[CONTEO ]]</f>
        <v>18</v>
      </c>
      <c r="F71" s="4">
        <f>VLOOKUP(Tabla12[[#This Row],[CÓDIGO]], [1]!Tabla12[#Data], 6,)</f>
        <v>7895155235123</v>
      </c>
    </row>
    <row r="72" spans="1:6" hidden="1" x14ac:dyDescent="0.3">
      <c r="A72">
        <v>590069</v>
      </c>
      <c r="B72" t="s">
        <v>520</v>
      </c>
      <c r="C72" s="2">
        <v>0</v>
      </c>
      <c r="D72" s="1"/>
      <c r="E72" s="1">
        <f>Tabla12[[#This Row],[Precio unitario]]*Tabla12[[#This Row],[CONTEO ]]</f>
        <v>0</v>
      </c>
      <c r="F72" s="4">
        <f>VLOOKUP(Tabla12[[#This Row],[CÓDIGO]], [1]!Tabla12[#Data], 6,)</f>
        <v>0</v>
      </c>
    </row>
    <row r="73" spans="1:6" hidden="1" x14ac:dyDescent="0.3">
      <c r="A73">
        <v>590070</v>
      </c>
      <c r="B73" t="s">
        <v>521</v>
      </c>
      <c r="C73" s="2">
        <v>0</v>
      </c>
      <c r="D73" s="1"/>
      <c r="E73" s="1">
        <f>Tabla12[[#This Row],[Precio unitario]]*Tabla12[[#This Row],[CONTEO ]]</f>
        <v>0</v>
      </c>
      <c r="F73" s="4">
        <f>VLOOKUP(Tabla12[[#This Row],[CÓDIGO]], [1]!Tabla12[#Data], 6,)</f>
        <v>0</v>
      </c>
    </row>
    <row r="74" spans="1:6" hidden="1" x14ac:dyDescent="0.3">
      <c r="A74">
        <v>590071</v>
      </c>
      <c r="B74" t="s">
        <v>522</v>
      </c>
      <c r="C74" s="2">
        <v>0</v>
      </c>
      <c r="D74" s="1"/>
      <c r="E74" s="1">
        <f>Tabla12[[#This Row],[Precio unitario]]*Tabla12[[#This Row],[CONTEO ]]</f>
        <v>0</v>
      </c>
      <c r="F74" s="4">
        <f>VLOOKUP(Tabla12[[#This Row],[CÓDIGO]], [1]!Tabla12[#Data], 6,)</f>
        <v>0</v>
      </c>
    </row>
    <row r="75" spans="1:6" hidden="1" x14ac:dyDescent="0.3">
      <c r="A75">
        <v>590072</v>
      </c>
      <c r="B75" t="s">
        <v>523</v>
      </c>
      <c r="C75" s="2">
        <v>0</v>
      </c>
      <c r="D75" s="1"/>
      <c r="E75" s="1">
        <f>Tabla12[[#This Row],[Precio unitario]]*Tabla12[[#This Row],[CONTEO ]]</f>
        <v>0</v>
      </c>
      <c r="F75" s="4">
        <f>VLOOKUP(Tabla12[[#This Row],[CÓDIGO]], [1]!Tabla12[#Data], 6,)</f>
        <v>0</v>
      </c>
    </row>
    <row r="76" spans="1:6" hidden="1" x14ac:dyDescent="0.3">
      <c r="A76">
        <v>590073</v>
      </c>
      <c r="B76" t="s">
        <v>524</v>
      </c>
      <c r="C76" s="2">
        <v>0</v>
      </c>
      <c r="D76" s="1"/>
      <c r="E76" s="1">
        <f>Tabla12[[#This Row],[Precio unitario]]*Tabla12[[#This Row],[CONTEO ]]</f>
        <v>0</v>
      </c>
      <c r="F76" s="4">
        <f>VLOOKUP(Tabla12[[#This Row],[CÓDIGO]], [1]!Tabla12[#Data], 6,)</f>
        <v>0</v>
      </c>
    </row>
    <row r="77" spans="1:6" hidden="1" x14ac:dyDescent="0.3">
      <c r="A77">
        <v>590074</v>
      </c>
      <c r="B77" t="s">
        <v>525</v>
      </c>
      <c r="C77" s="2">
        <v>0</v>
      </c>
      <c r="D77" s="1"/>
      <c r="E77" s="1">
        <f>Tabla12[[#This Row],[Precio unitario]]*Tabla12[[#This Row],[CONTEO ]]</f>
        <v>0</v>
      </c>
      <c r="F77" s="4">
        <f>VLOOKUP(Tabla12[[#This Row],[CÓDIGO]], [1]!Tabla12[#Data], 6,)</f>
        <v>0</v>
      </c>
    </row>
    <row r="78" spans="1:6" hidden="1" x14ac:dyDescent="0.3">
      <c r="A78">
        <v>590075</v>
      </c>
      <c r="B78" t="s">
        <v>526</v>
      </c>
      <c r="C78" s="2">
        <v>0</v>
      </c>
      <c r="D78" s="1"/>
      <c r="E78" s="1">
        <f>Tabla12[[#This Row],[Precio unitario]]*Tabla12[[#This Row],[CONTEO ]]</f>
        <v>0</v>
      </c>
      <c r="F78" s="4">
        <f>VLOOKUP(Tabla12[[#This Row],[CÓDIGO]], [1]!Tabla12[#Data], 6,)</f>
        <v>0</v>
      </c>
    </row>
    <row r="79" spans="1:6" hidden="1" x14ac:dyDescent="0.3">
      <c r="A79" s="9">
        <v>590076</v>
      </c>
      <c r="B79" t="s">
        <v>527</v>
      </c>
      <c r="C79" s="2">
        <v>0</v>
      </c>
      <c r="D79" s="1"/>
      <c r="E79" s="1">
        <f>Tabla12[[#This Row],[Precio unitario]]*Tabla12[[#This Row],[CONTEO ]]</f>
        <v>0</v>
      </c>
      <c r="F79" s="4">
        <f>VLOOKUP(Tabla12[[#This Row],[CÓDIGO]], [1]!Tabla12[#Data], 6,)</f>
        <v>0</v>
      </c>
    </row>
    <row r="80" spans="1:6" hidden="1" x14ac:dyDescent="0.3">
      <c r="A80">
        <v>590077</v>
      </c>
      <c r="B80" t="s">
        <v>528</v>
      </c>
      <c r="C80" s="2">
        <v>0</v>
      </c>
      <c r="D80" s="1"/>
      <c r="E80" s="1">
        <f>Tabla12[[#This Row],[Precio unitario]]*Tabla12[[#This Row],[CONTEO ]]</f>
        <v>0</v>
      </c>
      <c r="F80" s="4">
        <f>VLOOKUP(Tabla12[[#This Row],[CÓDIGO]], [1]!Tabla12[#Data], 6,)</f>
        <v>0</v>
      </c>
    </row>
    <row r="81" spans="1:6" x14ac:dyDescent="0.3">
      <c r="A81">
        <v>590078</v>
      </c>
      <c r="B81" t="s">
        <v>529</v>
      </c>
      <c r="C81" s="2">
        <v>2</v>
      </c>
      <c r="D81" s="1">
        <v>27</v>
      </c>
      <c r="E81" s="1">
        <f>Tabla12[[#This Row],[Precio unitario]]*Tabla12[[#This Row],[CONTEO ]]</f>
        <v>54</v>
      </c>
      <c r="F81" s="4">
        <f>VLOOKUP(Tabla12[[#This Row],[CÓDIGO]], [1]!Tabla12[#Data], 6,)</f>
        <v>7895155430405</v>
      </c>
    </row>
    <row r="82" spans="1:6" x14ac:dyDescent="0.3">
      <c r="A82">
        <v>590079</v>
      </c>
      <c r="B82" t="s">
        <v>530</v>
      </c>
      <c r="C82" s="2">
        <v>1</v>
      </c>
      <c r="D82" s="1">
        <v>27</v>
      </c>
      <c r="E82" s="1">
        <f>Tabla12[[#This Row],[Precio unitario]]*Tabla12[[#This Row],[CONTEO ]]</f>
        <v>27</v>
      </c>
      <c r="F82" s="4">
        <f>VLOOKUP(Tabla12[[#This Row],[CÓDIGO]], [1]!Tabla12[#Data], 6,)</f>
        <v>7895155430481</v>
      </c>
    </row>
    <row r="83" spans="1:6" hidden="1" x14ac:dyDescent="0.3">
      <c r="A83">
        <v>590080</v>
      </c>
      <c r="B83" t="s">
        <v>531</v>
      </c>
      <c r="C83" s="2">
        <v>0</v>
      </c>
      <c r="D83" s="1"/>
      <c r="E83" s="1">
        <f>Tabla12[[#This Row],[Precio unitario]]*Tabla12[[#This Row],[CONTEO ]]</f>
        <v>0</v>
      </c>
      <c r="F83" s="4">
        <f>VLOOKUP(Tabla12[[#This Row],[CÓDIGO]], [1]!Tabla12[#Data], 6,)</f>
        <v>0</v>
      </c>
    </row>
    <row r="84" spans="1:6" x14ac:dyDescent="0.3">
      <c r="C84" s="2"/>
      <c r="D84" s="1"/>
      <c r="E84" s="1">
        <f>SUBTOTAL(109,Tabla12[Total])</f>
        <v>1507</v>
      </c>
    </row>
  </sheetData>
  <mergeCells count="1">
    <mergeCell ref="A1:D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9B1B-B635-4532-B77F-2A516CEF62B1}">
  <dimension ref="A1:H34"/>
  <sheetViews>
    <sheetView workbookViewId="0">
      <selection activeCell="I10" sqref="I10"/>
    </sheetView>
  </sheetViews>
  <sheetFormatPr baseColWidth="10" defaultRowHeight="14.4" x14ac:dyDescent="0.3"/>
  <cols>
    <col min="1" max="1" width="8.77734375" customWidth="1"/>
    <col min="2" max="2" width="52" bestFit="1" customWidth="1"/>
    <col min="3" max="3" width="10.33203125" hidden="1" customWidth="1"/>
    <col min="4" max="4" width="12.21875" hidden="1" customWidth="1"/>
    <col min="5" max="5" width="11.88671875" customWidth="1"/>
    <col min="6" max="6" width="15.44140625" bestFit="1" customWidth="1"/>
    <col min="8" max="8" width="11.88671875" bestFit="1" customWidth="1"/>
  </cols>
  <sheetData>
    <row r="1" spans="1:8" ht="31.8" x14ac:dyDescent="0.55000000000000004">
      <c r="A1" s="14" t="s">
        <v>577</v>
      </c>
      <c r="B1" s="14"/>
      <c r="C1" s="14"/>
      <c r="D1" s="14"/>
      <c r="E1" s="14"/>
      <c r="F1" s="14"/>
      <c r="G1" s="14"/>
      <c r="H1" s="16" t="s">
        <v>582</v>
      </c>
    </row>
    <row r="2" spans="1:8" x14ac:dyDescent="0.3">
      <c r="A2" t="s">
        <v>0</v>
      </c>
      <c r="B2" t="s">
        <v>1</v>
      </c>
      <c r="C2" t="s">
        <v>563</v>
      </c>
      <c r="D2" t="s">
        <v>564</v>
      </c>
      <c r="E2" t="s">
        <v>261</v>
      </c>
      <c r="F2" t="s">
        <v>260</v>
      </c>
      <c r="G2" t="s">
        <v>262</v>
      </c>
    </row>
    <row r="3" spans="1:8" x14ac:dyDescent="0.3">
      <c r="A3">
        <v>170004</v>
      </c>
      <c r="B3" t="s">
        <v>532</v>
      </c>
      <c r="D3">
        <v>1</v>
      </c>
      <c r="E3" s="2">
        <f>Tabla13[[#This Row],[almacen]]+Tabla13[[#This Row],[showroom]]</f>
        <v>1</v>
      </c>
      <c r="F3" s="1">
        <v>160</v>
      </c>
      <c r="G3" s="1">
        <f>Tabla13[[#This Row],[Precio unitario]]*Tabla13[[#This Row],[Conteo total]]</f>
        <v>160</v>
      </c>
    </row>
    <row r="4" spans="1:8" hidden="1" x14ac:dyDescent="0.3">
      <c r="A4">
        <v>170005</v>
      </c>
      <c r="B4" t="s">
        <v>533</v>
      </c>
      <c r="E4" s="2">
        <f>Tabla13[[#This Row],[almacen]]+Tabla13[[#This Row],[showroom]]</f>
        <v>0</v>
      </c>
      <c r="F4" s="1"/>
      <c r="G4" s="1">
        <f>Tabla13[[#This Row],[Precio unitario]]*Tabla13[[#This Row],[Conteo total]]</f>
        <v>0</v>
      </c>
    </row>
    <row r="5" spans="1:8" x14ac:dyDescent="0.3">
      <c r="A5">
        <v>180001</v>
      </c>
      <c r="B5" t="s">
        <v>534</v>
      </c>
      <c r="D5">
        <v>2</v>
      </c>
      <c r="E5" s="2">
        <f>Tabla13[[#This Row],[almacen]]+Tabla13[[#This Row],[showroom]]</f>
        <v>2</v>
      </c>
      <c r="F5" s="1">
        <v>83</v>
      </c>
      <c r="G5" s="1">
        <f>Tabla13[[#This Row],[Precio unitario]]*Tabla13[[#This Row],[Conteo total]]</f>
        <v>166</v>
      </c>
    </row>
    <row r="6" spans="1:8" x14ac:dyDescent="0.3">
      <c r="A6">
        <v>180014</v>
      </c>
      <c r="B6" t="s">
        <v>535</v>
      </c>
      <c r="D6">
        <v>2</v>
      </c>
      <c r="E6" s="2">
        <f>Tabla13[[#This Row],[almacen]]+Tabla13[[#This Row],[showroom]]</f>
        <v>2</v>
      </c>
      <c r="F6" s="1">
        <v>7</v>
      </c>
      <c r="G6" s="1">
        <f>Tabla13[[#This Row],[Precio unitario]]*Tabla13[[#This Row],[Conteo total]]</f>
        <v>14</v>
      </c>
    </row>
    <row r="7" spans="1:8" x14ac:dyDescent="0.3">
      <c r="A7">
        <v>180017</v>
      </c>
      <c r="B7" t="s">
        <v>536</v>
      </c>
      <c r="C7">
        <v>17</v>
      </c>
      <c r="D7">
        <v>2</v>
      </c>
      <c r="E7" s="2">
        <f>Tabla13[[#This Row],[almacen]]+Tabla13[[#This Row],[showroom]]</f>
        <v>19</v>
      </c>
      <c r="F7" s="1">
        <v>14</v>
      </c>
      <c r="G7" s="1">
        <f>Tabla13[[#This Row],[Precio unitario]]*Tabla13[[#This Row],[Conteo total]]</f>
        <v>266</v>
      </c>
    </row>
    <row r="8" spans="1:8" x14ac:dyDescent="0.3">
      <c r="A8">
        <v>180019</v>
      </c>
      <c r="B8" t="s">
        <v>537</v>
      </c>
      <c r="C8">
        <v>1</v>
      </c>
      <c r="D8">
        <v>1</v>
      </c>
      <c r="E8" s="2">
        <f>Tabla13[[#This Row],[almacen]]+Tabla13[[#This Row],[showroom]]</f>
        <v>2</v>
      </c>
      <c r="F8" s="1">
        <v>15</v>
      </c>
      <c r="G8" s="1">
        <f>Tabla13[[#This Row],[Precio unitario]]*Tabla13[[#This Row],[Conteo total]]</f>
        <v>30</v>
      </c>
    </row>
    <row r="9" spans="1:8" x14ac:dyDescent="0.3">
      <c r="A9">
        <v>180020</v>
      </c>
      <c r="B9" t="s">
        <v>538</v>
      </c>
      <c r="C9">
        <v>3</v>
      </c>
      <c r="D9">
        <v>1</v>
      </c>
      <c r="E9" s="2">
        <f>Tabla13[[#This Row],[almacen]]+Tabla13[[#This Row],[showroom]]</f>
        <v>4</v>
      </c>
      <c r="F9" s="1">
        <v>23</v>
      </c>
      <c r="G9" s="1">
        <f>Tabla13[[#This Row],[Precio unitario]]*Tabla13[[#This Row],[Conteo total]]</f>
        <v>92</v>
      </c>
    </row>
    <row r="10" spans="1:8" x14ac:dyDescent="0.3">
      <c r="A10">
        <v>180022</v>
      </c>
      <c r="B10" t="s">
        <v>539</v>
      </c>
      <c r="C10">
        <v>5</v>
      </c>
      <c r="D10">
        <v>2</v>
      </c>
      <c r="E10" s="2">
        <f>Tabla13[[#This Row],[almacen]]+Tabla13[[#This Row],[showroom]]</f>
        <v>7</v>
      </c>
      <c r="F10" s="1">
        <v>33</v>
      </c>
      <c r="G10" s="1">
        <f>Tabla13[[#This Row],[Precio unitario]]*Tabla13[[#This Row],[Conteo total]]</f>
        <v>231</v>
      </c>
    </row>
    <row r="11" spans="1:8" hidden="1" x14ac:dyDescent="0.3">
      <c r="A11">
        <v>180023</v>
      </c>
      <c r="B11" t="s">
        <v>540</v>
      </c>
      <c r="E11" s="2">
        <f>Tabla13[[#This Row],[almacen]]+Tabla13[[#This Row],[showroom]]</f>
        <v>0</v>
      </c>
      <c r="F11" s="1"/>
      <c r="G11" s="1">
        <f>Tabla13[[#This Row],[Precio unitario]]*Tabla13[[#This Row],[Conteo total]]</f>
        <v>0</v>
      </c>
    </row>
    <row r="12" spans="1:8" hidden="1" x14ac:dyDescent="0.3">
      <c r="A12">
        <v>180024</v>
      </c>
      <c r="B12" t="s">
        <v>541</v>
      </c>
      <c r="E12" s="2">
        <f>Tabla13[[#This Row],[almacen]]+Tabla13[[#This Row],[showroom]]</f>
        <v>0</v>
      </c>
      <c r="F12" s="1"/>
      <c r="G12" s="1">
        <f>Tabla13[[#This Row],[Precio unitario]]*Tabla13[[#This Row],[Conteo total]]</f>
        <v>0</v>
      </c>
    </row>
    <row r="13" spans="1:8" hidden="1" x14ac:dyDescent="0.3">
      <c r="A13">
        <v>180025</v>
      </c>
      <c r="B13" t="s">
        <v>542</v>
      </c>
      <c r="E13" s="2">
        <f>Tabla13[[#This Row],[almacen]]+Tabla13[[#This Row],[showroom]]</f>
        <v>0</v>
      </c>
      <c r="F13" s="1"/>
      <c r="G13" s="1">
        <f>Tabla13[[#This Row],[Precio unitario]]*Tabla13[[#This Row],[Conteo total]]</f>
        <v>0</v>
      </c>
    </row>
    <row r="14" spans="1:8" hidden="1" x14ac:dyDescent="0.3">
      <c r="A14">
        <v>180026</v>
      </c>
      <c r="B14" t="s">
        <v>543</v>
      </c>
      <c r="E14" s="2">
        <f>Tabla13[[#This Row],[almacen]]+Tabla13[[#This Row],[showroom]]</f>
        <v>0</v>
      </c>
      <c r="F14" s="1"/>
      <c r="G14" s="1">
        <f>Tabla13[[#This Row],[Precio unitario]]*Tabla13[[#This Row],[Conteo total]]</f>
        <v>0</v>
      </c>
    </row>
    <row r="15" spans="1:8" x14ac:dyDescent="0.3">
      <c r="A15">
        <v>180029</v>
      </c>
      <c r="B15" t="s">
        <v>544</v>
      </c>
      <c r="C15">
        <v>13</v>
      </c>
      <c r="D15">
        <v>2</v>
      </c>
      <c r="E15" s="2">
        <f>Tabla13[[#This Row],[almacen]]+Tabla13[[#This Row],[showroom]]</f>
        <v>15</v>
      </c>
      <c r="F15" s="1">
        <v>31</v>
      </c>
      <c r="G15" s="1">
        <f>Tabla13[[#This Row],[Precio unitario]]*Tabla13[[#This Row],[Conteo total]]</f>
        <v>465</v>
      </c>
    </row>
    <row r="16" spans="1:8" hidden="1" x14ac:dyDescent="0.3">
      <c r="A16">
        <v>180033</v>
      </c>
      <c r="B16" t="s">
        <v>545</v>
      </c>
      <c r="E16" s="2">
        <f>Tabla13[[#This Row],[almacen]]+Tabla13[[#This Row],[showroom]]</f>
        <v>0</v>
      </c>
      <c r="F16" s="1"/>
      <c r="G16" s="1">
        <f>Tabla13[[#This Row],[Precio unitario]]*Tabla13[[#This Row],[Conteo total]]</f>
        <v>0</v>
      </c>
    </row>
    <row r="17" spans="1:7" hidden="1" x14ac:dyDescent="0.3">
      <c r="A17">
        <v>180034</v>
      </c>
      <c r="B17" t="s">
        <v>546</v>
      </c>
      <c r="E17" s="2">
        <f>Tabla13[[#This Row],[almacen]]+Tabla13[[#This Row],[showroom]]</f>
        <v>0</v>
      </c>
      <c r="F17" s="1"/>
      <c r="G17" s="1">
        <f>Tabla13[[#This Row],[Precio unitario]]*Tabla13[[#This Row],[Conteo total]]</f>
        <v>0</v>
      </c>
    </row>
    <row r="18" spans="1:7" x14ac:dyDescent="0.3">
      <c r="A18">
        <v>180035</v>
      </c>
      <c r="B18" t="s">
        <v>547</v>
      </c>
      <c r="D18">
        <v>1</v>
      </c>
      <c r="E18" s="2">
        <f>Tabla13[[#This Row],[almacen]]+Tabla13[[#This Row],[showroom]]</f>
        <v>1</v>
      </c>
      <c r="F18" s="1">
        <v>31</v>
      </c>
      <c r="G18" s="1">
        <f>Tabla13[[#This Row],[Precio unitario]]*Tabla13[[#This Row],[Conteo total]]</f>
        <v>31</v>
      </c>
    </row>
    <row r="19" spans="1:7" x14ac:dyDescent="0.3">
      <c r="A19">
        <v>180041</v>
      </c>
      <c r="B19" t="s">
        <v>548</v>
      </c>
      <c r="D19">
        <v>1</v>
      </c>
      <c r="E19" s="2">
        <f>Tabla13[[#This Row],[almacen]]+Tabla13[[#This Row],[showroom]]</f>
        <v>1</v>
      </c>
      <c r="F19" s="1">
        <v>129</v>
      </c>
      <c r="G19" s="1">
        <f>Tabla13[[#This Row],[Precio unitario]]*Tabla13[[#This Row],[Conteo total]]</f>
        <v>129</v>
      </c>
    </row>
    <row r="20" spans="1:7" x14ac:dyDescent="0.3">
      <c r="A20">
        <v>290100</v>
      </c>
      <c r="B20" t="s">
        <v>549</v>
      </c>
      <c r="D20">
        <v>9</v>
      </c>
      <c r="E20" s="2">
        <f>Tabla13[[#This Row],[almacen]]+Tabla13[[#This Row],[showroom]]</f>
        <v>9</v>
      </c>
      <c r="F20" s="1">
        <v>30</v>
      </c>
      <c r="G20" s="1">
        <f>Tabla13[[#This Row],[Precio unitario]]*Tabla13[[#This Row],[Conteo total]]</f>
        <v>270</v>
      </c>
    </row>
    <row r="21" spans="1:7" x14ac:dyDescent="0.3">
      <c r="A21">
        <v>290101</v>
      </c>
      <c r="B21" t="s">
        <v>550</v>
      </c>
      <c r="D21">
        <v>6</v>
      </c>
      <c r="E21" s="2">
        <f>Tabla13[[#This Row],[almacen]]+Tabla13[[#This Row],[showroom]]</f>
        <v>6</v>
      </c>
      <c r="F21" s="1">
        <v>30</v>
      </c>
      <c r="G21" s="1">
        <f>Tabla13[[#This Row],[Precio unitario]]*Tabla13[[#This Row],[Conteo total]]</f>
        <v>180</v>
      </c>
    </row>
    <row r="22" spans="1:7" hidden="1" x14ac:dyDescent="0.3">
      <c r="A22">
        <v>290102</v>
      </c>
      <c r="B22" t="s">
        <v>551</v>
      </c>
      <c r="E22" s="2">
        <f>Tabla13[[#This Row],[almacen]]+Tabla13[[#This Row],[showroom]]</f>
        <v>0</v>
      </c>
      <c r="F22" s="1"/>
      <c r="G22" s="1">
        <f>Tabla13[[#This Row],[Precio unitario]]*Tabla13[[#This Row],[Conteo total]]</f>
        <v>0</v>
      </c>
    </row>
    <row r="23" spans="1:7" x14ac:dyDescent="0.3">
      <c r="A23">
        <v>580006</v>
      </c>
      <c r="B23" t="s">
        <v>552</v>
      </c>
      <c r="D23">
        <v>1</v>
      </c>
      <c r="E23" s="2">
        <f>Tabla13[[#This Row],[almacen]]+Tabla13[[#This Row],[showroom]]</f>
        <v>1</v>
      </c>
      <c r="F23" s="1">
        <v>63</v>
      </c>
      <c r="G23" s="1">
        <f>Tabla13[[#This Row],[Precio unitario]]*Tabla13[[#This Row],[Conteo total]]</f>
        <v>63</v>
      </c>
    </row>
    <row r="24" spans="1:7" hidden="1" x14ac:dyDescent="0.3">
      <c r="A24">
        <v>580007</v>
      </c>
      <c r="B24" t="s">
        <v>553</v>
      </c>
      <c r="E24" s="2">
        <f>Tabla13[[#This Row],[almacen]]+Tabla13[[#This Row],[showroom]]</f>
        <v>0</v>
      </c>
      <c r="F24" s="1"/>
      <c r="G24" s="1">
        <f>Tabla13[[#This Row],[Precio unitario]]*Tabla13[[#This Row],[Conteo total]]</f>
        <v>0</v>
      </c>
    </row>
    <row r="25" spans="1:7" x14ac:dyDescent="0.3">
      <c r="A25">
        <v>580014</v>
      </c>
      <c r="B25" t="s">
        <v>554</v>
      </c>
      <c r="D25">
        <v>2</v>
      </c>
      <c r="E25" s="2">
        <f>Tabla13[[#This Row],[almacen]]+Tabla13[[#This Row],[showroom]]</f>
        <v>2</v>
      </c>
      <c r="F25" s="1">
        <v>9</v>
      </c>
      <c r="G25" s="1">
        <f>Tabla13[[#This Row],[Precio unitario]]*Tabla13[[#This Row],[Conteo total]]</f>
        <v>18</v>
      </c>
    </row>
    <row r="26" spans="1:7" x14ac:dyDescent="0.3">
      <c r="A26">
        <v>580019</v>
      </c>
      <c r="B26" t="s">
        <v>555</v>
      </c>
      <c r="D26">
        <v>1</v>
      </c>
      <c r="E26" s="2">
        <f>Tabla13[[#This Row],[almacen]]+Tabla13[[#This Row],[showroom]]</f>
        <v>1</v>
      </c>
      <c r="F26" s="1">
        <v>5</v>
      </c>
      <c r="G26" s="1">
        <f>Tabla13[[#This Row],[Precio unitario]]*Tabla13[[#This Row],[Conteo total]]</f>
        <v>5</v>
      </c>
    </row>
    <row r="27" spans="1:7" x14ac:dyDescent="0.3">
      <c r="A27">
        <v>580025</v>
      </c>
      <c r="B27" t="s">
        <v>556</v>
      </c>
      <c r="D27">
        <v>1</v>
      </c>
      <c r="E27" s="2">
        <f>Tabla13[[#This Row],[almacen]]+Tabla13[[#This Row],[showroom]]</f>
        <v>1</v>
      </c>
      <c r="F27" s="1">
        <v>6</v>
      </c>
      <c r="G27" s="1">
        <f>Tabla13[[#This Row],[Precio unitario]]*Tabla13[[#This Row],[Conteo total]]</f>
        <v>6</v>
      </c>
    </row>
    <row r="28" spans="1:7" x14ac:dyDescent="0.3">
      <c r="A28">
        <v>580026</v>
      </c>
      <c r="B28" t="s">
        <v>557</v>
      </c>
      <c r="D28">
        <v>1</v>
      </c>
      <c r="E28" s="2">
        <f>Tabla13[[#This Row],[almacen]]+Tabla13[[#This Row],[showroom]]</f>
        <v>1</v>
      </c>
      <c r="F28" s="1">
        <v>13</v>
      </c>
      <c r="G28" s="1">
        <f>Tabla13[[#This Row],[Precio unitario]]*Tabla13[[#This Row],[Conteo total]]</f>
        <v>13</v>
      </c>
    </row>
    <row r="29" spans="1:7" x14ac:dyDescent="0.3">
      <c r="A29">
        <v>580027</v>
      </c>
      <c r="B29" t="s">
        <v>558</v>
      </c>
      <c r="D29">
        <v>1</v>
      </c>
      <c r="E29" s="2">
        <f>Tabla13[[#This Row],[almacen]]+Tabla13[[#This Row],[showroom]]</f>
        <v>1</v>
      </c>
      <c r="F29" s="1">
        <v>17</v>
      </c>
      <c r="G29" s="1">
        <f>Tabla13[[#This Row],[Precio unitario]]*Tabla13[[#This Row],[Conteo total]]</f>
        <v>17</v>
      </c>
    </row>
    <row r="30" spans="1:7" x14ac:dyDescent="0.3">
      <c r="A30">
        <v>580029</v>
      </c>
      <c r="B30" t="s">
        <v>559</v>
      </c>
      <c r="D30">
        <v>1</v>
      </c>
      <c r="E30" s="2">
        <f>Tabla13[[#This Row],[almacen]]+Tabla13[[#This Row],[showroom]]</f>
        <v>1</v>
      </c>
      <c r="F30" s="1">
        <v>4</v>
      </c>
      <c r="G30" s="1">
        <f>Tabla13[[#This Row],[Precio unitario]]*Tabla13[[#This Row],[Conteo total]]</f>
        <v>4</v>
      </c>
    </row>
    <row r="31" spans="1:7" x14ac:dyDescent="0.3">
      <c r="A31">
        <v>580030</v>
      </c>
      <c r="B31" t="s">
        <v>560</v>
      </c>
      <c r="D31">
        <v>2</v>
      </c>
      <c r="E31" s="2">
        <f>Tabla13[[#This Row],[almacen]]+Tabla13[[#This Row],[showroom]]</f>
        <v>2</v>
      </c>
      <c r="F31" s="1">
        <v>14</v>
      </c>
      <c r="G31" s="1">
        <f>Tabla13[[#This Row],[Precio unitario]]*Tabla13[[#This Row],[Conteo total]]</f>
        <v>28</v>
      </c>
    </row>
    <row r="32" spans="1:7" x14ac:dyDescent="0.3">
      <c r="A32">
        <v>580035</v>
      </c>
      <c r="B32" t="s">
        <v>561</v>
      </c>
      <c r="D32">
        <v>1</v>
      </c>
      <c r="E32" s="2">
        <f>Tabla13[[#This Row],[almacen]]+Tabla13[[#This Row],[showroom]]</f>
        <v>1</v>
      </c>
      <c r="F32" s="1">
        <v>17</v>
      </c>
      <c r="G32" s="1">
        <f>Tabla13[[#This Row],[Precio unitario]]*Tabla13[[#This Row],[Conteo total]]</f>
        <v>17</v>
      </c>
    </row>
    <row r="33" spans="1:7" x14ac:dyDescent="0.3">
      <c r="A33">
        <v>580036</v>
      </c>
      <c r="B33" t="s">
        <v>562</v>
      </c>
      <c r="D33">
        <v>1</v>
      </c>
      <c r="E33" s="2">
        <f>Tabla13[[#This Row],[almacen]]+Tabla13[[#This Row],[showroom]]</f>
        <v>1</v>
      </c>
      <c r="F33" s="1">
        <v>18</v>
      </c>
      <c r="G33" s="1">
        <f>Tabla13[[#This Row],[Precio unitario]]*Tabla13[[#This Row],[Conteo total]]</f>
        <v>18</v>
      </c>
    </row>
    <row r="34" spans="1:7" x14ac:dyDescent="0.3">
      <c r="E34" s="2"/>
      <c r="F34" s="1"/>
      <c r="G34" s="1">
        <f>SUBTOTAL(109,Tabla13[Total])</f>
        <v>2223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CASA IDEAS</vt:lpstr>
      <vt:lpstr>AGENDAS</vt:lpstr>
      <vt:lpstr>CHIKIPOOM COMPRA</vt:lpstr>
      <vt:lpstr>IMBIMEX</vt:lpstr>
      <vt:lpstr>MAKRO</vt:lpstr>
      <vt:lpstr>MOXOS</vt:lpstr>
      <vt:lpstr>KHOLBERG</vt:lpstr>
      <vt:lpstr>DIEGO EID</vt:lpstr>
      <vt:lpstr>EUROCASCOS</vt:lpstr>
      <vt:lpstr>KIMPRO</vt:lpstr>
      <vt:lpstr>ROXI</vt:lpstr>
      <vt:lpstr>LISOFORT</vt:lpstr>
      <vt:lpstr>GUABIRA</vt:lpstr>
      <vt:lpstr>COICOM</vt:lpstr>
      <vt:lpstr>AIDISA</vt:lpstr>
      <vt:lpstr>UZ MUNDIAL</vt:lpstr>
      <vt:lpstr>Confia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2022-06-03T14:32:50Z</dcterms:created>
  <dcterms:modified xsi:type="dcterms:W3CDTF">2022-08-24T22:20:11Z</dcterms:modified>
</cp:coreProperties>
</file>